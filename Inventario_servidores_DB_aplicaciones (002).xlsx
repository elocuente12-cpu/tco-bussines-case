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experian.sharepoint.com/sites/MigracinJ2CPanam/Shared Documents/General/2. Implementación/"/>
    </mc:Choice>
  </mc:AlternateContent>
  <xr:revisionPtr revIDLastSave="0" documentId="8_{634C76FA-12AF-4FAA-9589-2C2AD2F679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ervidores" sheetId="1" r:id="rId1"/>
    <sheet name="Sheet1" sheetId="8" r:id="rId2"/>
    <sheet name="Server SQL" sheetId="2" r:id="rId3"/>
    <sheet name="Aplicaciones" sheetId="6" r:id="rId4"/>
    <sheet name="Hoja1" sheetId="3" state="hidden" r:id="rId5"/>
    <sheet name="Base de datos" sheetId="5" r:id="rId6"/>
    <sheet name="TD" sheetId="7" r:id="rId7"/>
  </sheets>
  <definedNames>
    <definedName name="_xlnm._FilterDatabase" localSheetId="3" hidden="1">Aplicaciones!$A$1:$F$12</definedName>
    <definedName name="_xlnm._FilterDatabase" localSheetId="5" hidden="1">'Base de datos'!$A$1:$G$133</definedName>
    <definedName name="_xlnm._FilterDatabase" localSheetId="2" hidden="1">'Server SQL'!$A$1:$O$8</definedName>
    <definedName name="_xlnm._FilterDatabase" localSheetId="1" hidden="1">Sheet1!$A$1:$C$1</definedName>
    <definedName name="_xlnm._FilterDatabase" localSheetId="0" hidden="1">Servidores!$A$1:$P$39</definedName>
  </definedNames>
  <calcPr calcId="191028"/>
  <pivotCaches>
    <pivotCache cacheId="76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2zroshprvOxxk9t23rmp5fZSMRRby4IR9Z0JN3JcREg="/>
    </ext>
  </extLst>
</workbook>
</file>

<file path=xl/calcChain.xml><?xml version="1.0" encoding="utf-8"?>
<calcChain xmlns="http://schemas.openxmlformats.org/spreadsheetml/2006/main">
  <c r="C42" i="1" l="1"/>
  <c r="D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tc={AEA79F14-EDF0-4323-A0A9-53560C68024D}</author>
  </authors>
  <commentList>
    <comment ref="F6" authorId="0" shapeId="0" xr:uid="{AEA79F14-EDF0-4323-A0A9-53560C68024D}">
      <text>
        <t>[Threaded comment]
Your version of Excel allows you to read this threaded comment; however, any edits to it will get removed if the file is opened in a newer version of Excel. Learn more: https://go.microsoft.com/fwlink/?linkid=870924
Comment:
    Ambiente Pre-Productivo, no se debe migrar en Marzo</t>
      </text>
    </comment>
  </commentList>
</comments>
</file>

<file path=xl/sharedStrings.xml><?xml version="1.0" encoding="utf-8"?>
<sst xmlns="http://schemas.openxmlformats.org/spreadsheetml/2006/main" count="1284" uniqueCount="393">
  <si>
    <t>Server-Hostname</t>
  </si>
  <si>
    <t>IP</t>
  </si>
  <si>
    <t>vCPU</t>
  </si>
  <si>
    <t>Memory (GiB)</t>
  </si>
  <si>
    <t>General Purpose (GB)</t>
  </si>
  <si>
    <t>Environment Type</t>
  </si>
  <si>
    <t>OS Name</t>
  </si>
  <si>
    <t>OS Version</t>
  </si>
  <si>
    <t>APP Description</t>
  </si>
  <si>
    <t>Migración</t>
  </si>
  <si>
    <t>Estado</t>
  </si>
  <si>
    <t>Fecha replicación</t>
  </si>
  <si>
    <t>Fecha Pruebas funcionales</t>
  </si>
  <si>
    <t>Fecha cutover</t>
  </si>
  <si>
    <t>Fecha cierre</t>
  </si>
  <si>
    <t>Observación</t>
  </si>
  <si>
    <t>ftpserverho</t>
  </si>
  <si>
    <t>192.168.210.6</t>
  </si>
  <si>
    <t>Prod</t>
  </si>
  <si>
    <t>WindowsOS</t>
  </si>
  <si>
    <t>Windows 2016 Standard Server</t>
  </si>
  <si>
    <t>APP_WebFolder</t>
  </si>
  <si>
    <t>No</t>
  </si>
  <si>
    <t>No se debe migrar</t>
  </si>
  <si>
    <t>N/A</t>
  </si>
  <si>
    <t>Informan el 8/7 que no se debe migrar. se estará migrando la aplicación en otro servidor que se estará replicando.</t>
  </si>
  <si>
    <t>PAHQDAPDSC01</t>
  </si>
  <si>
    <t>192.168.132.24</t>
  </si>
  <si>
    <t>Dev</t>
  </si>
  <si>
    <t>Linux</t>
  </si>
  <si>
    <t>Amazon Linux 2</t>
  </si>
  <si>
    <t>Datasync DEV</t>
  </si>
  <si>
    <t>Se deciden no migrar, son appliance de AWS que solo funcionan en onpremise</t>
  </si>
  <si>
    <t>PAHQDAPDSC02</t>
  </si>
  <si>
    <t>192.168.133.24</t>
  </si>
  <si>
    <t>PAHQDAPIIS01</t>
  </si>
  <si>
    <t>10.98.145.197</t>
  </si>
  <si>
    <t>Windows 2019 Datacenter</t>
  </si>
  <si>
    <t>All</t>
  </si>
  <si>
    <t>Si</t>
  </si>
  <si>
    <t>Completado</t>
  </si>
  <si>
    <t>10/04: se despliega, pendiente pruebas funcionales. 20/04 se esperan pruebas funcionales para el 21/04. Compliance finaliza el 5/6</t>
  </si>
  <si>
    <t>pahqdapwss01</t>
  </si>
  <si>
    <t>192.168.133.10</t>
  </si>
  <si>
    <t>TEST (DEMO)</t>
  </si>
  <si>
    <t>Windows 2016 Datacenter</t>
  </si>
  <si>
    <t>Webfolder, webservices, SRC, TuintelidatWs</t>
  </si>
  <si>
    <t>En proceso</t>
  </si>
  <si>
    <t>PAHQDFSDSC01</t>
  </si>
  <si>
    <t>10.98.145.206</t>
  </si>
  <si>
    <t>Windows Server 2022 Standard</t>
  </si>
  <si>
    <t>Datasync File Server DEV</t>
  </si>
  <si>
    <t>PAHQDWFINT01</t>
  </si>
  <si>
    <t>10.98.145.203</t>
  </si>
  <si>
    <t>Wobfolder Intermedio (WebFolder Online)</t>
  </si>
  <si>
    <t>13/03/2026</t>
  </si>
  <si>
    <t>13/04: hoy se despliega para pruebas funcionales. 20/04 se esperan pruebas funcionales para el 21/04. Compliance finaliza el 5/6</t>
  </si>
  <si>
    <t>pahqpapapp02</t>
  </si>
  <si>
    <t>192.168.130.39</t>
  </si>
  <si>
    <t>Windows Server 2019 Standard</t>
  </si>
  <si>
    <t>APP_InternalApps</t>
  </si>
  <si>
    <t>Crear nuevo</t>
  </si>
  <si>
    <t>Desplegada</t>
  </si>
  <si>
    <t>13/7/2026</t>
  </si>
  <si>
    <t>Desplegar nueva EC2 WS 2025</t>
  </si>
  <si>
    <t>PAHQPMORAP01</t>
  </si>
  <si>
    <t>172.16.4.65</t>
  </si>
  <si>
    <t>Monitoreo Rapid 7</t>
  </si>
  <si>
    <t>Es para monitoreo de infra onpremise, no es necesario migrar a nube.</t>
  </si>
  <si>
    <t>PAHQPSCDIS01</t>
  </si>
  <si>
    <t>172.16.4.49</t>
  </si>
  <si>
    <t>System Center</t>
  </si>
  <si>
    <t>Es para instalación de parches de estaciones de usuario onpremise.</t>
  </si>
  <si>
    <t>pahqtapbof01</t>
  </si>
  <si>
    <t>192.168.131.52</t>
  </si>
  <si>
    <t>UAT</t>
  </si>
  <si>
    <t>Ubuntu 22.04.3 LTS</t>
  </si>
  <si>
    <t>Backoffice APP_Intelidat</t>
  </si>
  <si>
    <t>30/4/2026</t>
  </si>
  <si>
    <t>Compliance finaliza el 5/6</t>
  </si>
  <si>
    <t>PAHQTAPDSC01</t>
  </si>
  <si>
    <t>192.168.131.57</t>
  </si>
  <si>
    <t>Datasync UAT</t>
  </si>
  <si>
    <t>pahqtapiis01</t>
  </si>
  <si>
    <t>10.98.145.78</t>
  </si>
  <si>
    <t>APP_AmbienteUAT</t>
  </si>
  <si>
    <t>29/4/2026</t>
  </si>
  <si>
    <t>Compliance finaliza el 5/6. Se incluye en la POC de Datadog</t>
  </si>
  <si>
    <t>PAHQTAPSTE01</t>
  </si>
  <si>
    <t>10.98.145.120</t>
  </si>
  <si>
    <t>Red Hat Enterprise Linux 8.9 (64-bit)</t>
  </si>
  <si>
    <t>Secure Transport PA (frontend)</t>
  </si>
  <si>
    <t>19/04/2026</t>
  </si>
  <si>
    <t>Pendiente definición de Experian, si se migrará en este proyecto o no. Se confirma el 08/04/2026 que se debe incluir en este alcance. 20/04 Pendiente pruebas funcionales. Compliance finaliza el 5/6. Se incluye en la POC de Datadog</t>
  </si>
  <si>
    <t>PAHQTAPSTS01</t>
  </si>
  <si>
    <t>10.98.145.119</t>
  </si>
  <si>
    <t>Secure Transport PA (backend)</t>
  </si>
  <si>
    <t>20/04/2026</t>
  </si>
  <si>
    <t>Pendiente definición de Experian, si se migrará en este proyecto o no. Se confirma el 08/04/2026 que se debe incluir en este alcance. 21/04: se presentó un error de acceso que no permite probar. Compliance finaliza el 5/6</t>
  </si>
  <si>
    <t>PAHQTFSDSC01</t>
  </si>
  <si>
    <t>192.168.131.58</t>
  </si>
  <si>
    <t>Datasync File Server UAT</t>
  </si>
  <si>
    <t>20/4/2026</t>
  </si>
  <si>
    <t>Se deciden no migrar, son appliance de AWS que solo funcionan en onpremise. El 20/04 se informa que sí debe ser migrado- Compliance finaliza el 5/6.</t>
  </si>
  <si>
    <t>pahqtfsint02</t>
  </si>
  <si>
    <t>192.168.130.26</t>
  </si>
  <si>
    <t>APP_TareasArea</t>
  </si>
  <si>
    <t>Desplegar nueva EC2 WS 2025,
Alberto menciona que no se migra ni se crea. 13/07/2026</t>
  </si>
  <si>
    <t>pahqtwfint01</t>
  </si>
  <si>
    <t>192.168.131.51</t>
  </si>
  <si>
    <t>APP_WebFolder (WebFolder Online)</t>
  </si>
  <si>
    <t>pahwpapbof01</t>
  </si>
  <si>
    <t>192.168.230.23</t>
  </si>
  <si>
    <t>Replicando - Error de Firewall</t>
  </si>
  <si>
    <t>Cambio de estrategia, no se debe migrar si no crear nuevo</t>
  </si>
  <si>
    <t>PAHWPAPDSC01</t>
  </si>
  <si>
    <t>10.54.128.24</t>
  </si>
  <si>
    <t>Agente Datasync ambiente de Producción</t>
  </si>
  <si>
    <t>pahwpapsrc03</t>
  </si>
  <si>
    <t>192.168.210.53</t>
  </si>
  <si>
    <t>APP_SRC</t>
  </si>
  <si>
    <t>Replicado</t>
  </si>
  <si>
    <t>Cambio de estrategia, no se debe migrar si no crear nuevo. Se debe monitorear con Datadog</t>
  </si>
  <si>
    <t>pahwpapsrc04</t>
  </si>
  <si>
    <t>192.168.210.54</t>
  </si>
  <si>
    <t>Informan el 8/7 que no se debe migrar. no se requiere porque ya se subió pahwpapsrc03 y se aplicará autoscaling</t>
  </si>
  <si>
    <t>PAHWPAPSTE01</t>
  </si>
  <si>
    <t>192.168.210.83</t>
  </si>
  <si>
    <t>Red Hat Enterprise Linux release 8.9</t>
  </si>
  <si>
    <t>APP_SecureTransport (frontend)</t>
  </si>
  <si>
    <t>PAHWPAPSTS01</t>
  </si>
  <si>
    <t>10.54.129.228</t>
  </si>
  <si>
    <t>APP_SecureTransport (Servidor)</t>
  </si>
  <si>
    <t>pahwpaptui03</t>
  </si>
  <si>
    <t>192.168.210.63</t>
  </si>
  <si>
    <t>APP_Intelidat</t>
  </si>
  <si>
    <t>Cambio de estrategia, no se debe migrar si no crear nuevo. Se debe monitorear con Datadog
Se depsliega en ASG</t>
  </si>
  <si>
    <t>pahwpaptui04</t>
  </si>
  <si>
    <t>192.168.210.64</t>
  </si>
  <si>
    <t>no se debe replicar, se solventa con el autoscaling del servidor pahwpaptui03</t>
  </si>
  <si>
    <t>PAHWPAPWEF02</t>
  </si>
  <si>
    <t>192.168.210.11</t>
  </si>
  <si>
    <t>Tarea Validador</t>
  </si>
  <si>
    <t>pahwpapwfc01</t>
  </si>
  <si>
    <t>192.168.210.30</t>
  </si>
  <si>
    <t>Webfolder</t>
  </si>
  <si>
    <t>pahwpapwfc02</t>
  </si>
  <si>
    <t>192.168.210.50</t>
  </si>
  <si>
    <t>webfolder</t>
  </si>
  <si>
    <t>no se debe replicar, se solventa con el autoscaling del servidor pahwpapwfc01</t>
  </si>
  <si>
    <t>pahwpapwss03</t>
  </si>
  <si>
    <t>192.168.210.43</t>
  </si>
  <si>
    <t>APP_webservices</t>
  </si>
  <si>
    <t>pahwpapwss04</t>
  </si>
  <si>
    <t>192.168.210.44</t>
  </si>
  <si>
    <t>no se debe replicar, se solventa con el autoscaling del servidor pahwpapwss03</t>
  </si>
  <si>
    <t>pahwpchecs01</t>
  </si>
  <si>
    <t>192.168.210.61</t>
  </si>
  <si>
    <t>ECS Chile</t>
  </si>
  <si>
    <t>pahwpchecs02</t>
  </si>
  <si>
    <t>192.168.210.62</t>
  </si>
  <si>
    <t>no se debe replicar, se solventa con el autoscaling del servidor pahwpchecs01</t>
  </si>
  <si>
    <t>pahwpfsasc01</t>
  </si>
  <si>
    <t>192.168.245.15</t>
  </si>
  <si>
    <t>Tareas de Ascend AWS</t>
  </si>
  <si>
    <t>PAHWPFSDSC01</t>
  </si>
  <si>
    <t>192.1.68.242.24</t>
  </si>
  <si>
    <t>Datasync File Server Prod</t>
  </si>
  <si>
    <t>PAHWPWFINT01</t>
  </si>
  <si>
    <t>192.168.242.20</t>
  </si>
  <si>
    <t>Servidor intermedio para archivos WebFolder</t>
  </si>
  <si>
    <t>Desplegar nueva EC2 WS 2025. 8/7: Alberto confirma que si debe migrarse y no crearse como nuevo</t>
  </si>
  <si>
    <t>pahwpwsapi01</t>
  </si>
  <si>
    <t>192.168.245.30</t>
  </si>
  <si>
    <t>WebServer para API AscendOpsService</t>
  </si>
  <si>
    <t>pahwpwsapi02</t>
  </si>
  <si>
    <t>192.168.245.40</t>
  </si>
  <si>
    <t>no se debe replicar, se solventa con el autoscaling del servidor pahwpwsapi01</t>
  </si>
  <si>
    <t>TOTAL CORE</t>
  </si>
  <si>
    <t>No migrar</t>
  </si>
  <si>
    <t>InstanceType</t>
  </si>
  <si>
    <t>Sistema Operativo</t>
  </si>
  <si>
    <t>IOPS</t>
  </si>
  <si>
    <t>Target DB engine</t>
  </si>
  <si>
    <t>Edition</t>
  </si>
  <si>
    <t>Detalles</t>
  </si>
  <si>
    <t>virtual</t>
  </si>
  <si>
    <t>Cluster</t>
  </si>
  <si>
    <t>AlwaysOn</t>
  </si>
  <si>
    <t>pahwpdbcsqc01</t>
  </si>
  <si>
    <t>Sql Server</t>
  </si>
  <si>
    <t>SQL Server 2016 SP3</t>
  </si>
  <si>
    <t>SQL Server</t>
  </si>
  <si>
    <t>Enterprise</t>
  </si>
  <si>
    <t xml:space="preserve">Microsoft SQL Server 2019 (RTM-CU32-GDR) (KB5065222) - 15.0.4445.1 (X64)   Aug 13 2025 11:07:18   Copyright (C) 2019 Microsoft Corporation  Enterprise Edition: Core-based Licensing (64-bit) on Windows Server 2016 Standard 10.0 &lt;X64&gt; (Build 14393: ) </t>
  </si>
  <si>
    <t>no</t>
  </si>
  <si>
    <t>si</t>
  </si>
  <si>
    <t>pahwpdbcsq02</t>
  </si>
  <si>
    <t>pahqpdbsql01</t>
  </si>
  <si>
    <t>Standard</t>
  </si>
  <si>
    <t xml:space="preserve">Microsoft SQL Server 2019 (RTM-CU32-GDR) (KB5065222) - 15.0.4445.1 (X64)   Aug 13 2025 11:07:18   Copyright (C) 2019 Microsoft Corporation  Standard Edition (64-bit) on Windows Server 2016 Datacenter 10.0 &lt;X64&gt; (Build 14393: ) (Hypervisor) </t>
  </si>
  <si>
    <t>pahqtdbsqlc01</t>
  </si>
  <si>
    <t>TEST</t>
  </si>
  <si>
    <t>Microsoft SQL Server 2019 (RTM-CU32-GDR) (KB5068404) - 15.0.4455.2 (X64) Oct  7 2025 21:10:15 Copyright (C) 2019 Microsoft Corporation, Standard Edition (64-bit) on Windows Server 2016 Standard 10.0 &lt;X64&gt; (Build 14393: ) (Hypervisor)</t>
  </si>
  <si>
    <t>Sí, pero con pdn</t>
  </si>
  <si>
    <t>pahqtdbsql01</t>
  </si>
  <si>
    <t>SQL Server 2019</t>
  </si>
  <si>
    <t>sí</t>
  </si>
  <si>
    <t>PAHQDDBSQL01</t>
  </si>
  <si>
    <t xml:space="preserve">Microsoft Windows Server 2019
</t>
  </si>
  <si>
    <t>DEV</t>
  </si>
  <si>
    <t>Name</t>
  </si>
  <si>
    <t>App ID</t>
  </si>
  <si>
    <t>Owner</t>
  </si>
  <si>
    <t>Publicación</t>
  </si>
  <si>
    <t>Region</t>
  </si>
  <si>
    <t>URL</t>
  </si>
  <si>
    <t>TuIntelidat APP V.4</t>
  </si>
  <si>
    <t>Gonzalo Córdoba</t>
  </si>
  <si>
    <t>Internet</t>
  </si>
  <si>
    <t>Latin America - Spanish</t>
  </si>
  <si>
    <t>WebFolder Online</t>
  </si>
  <si>
    <t>Intranet, Internet</t>
  </si>
  <si>
    <t>https://webfolder.intelidat.com</t>
  </si>
  <si>
    <t>API Variables Standard PANAMA</t>
  </si>
  <si>
    <t>Internet, Intranet</t>
  </si>
  <si>
    <t>https://webservices.apcexperian.com/SCOREPLUS/StandarVars/StandarVarsService.svc</t>
  </si>
  <si>
    <t>TuIntelidat-App</t>
  </si>
  <si>
    <t>https://mobile.apc.com.pa/Intelidatappv4</t>
  </si>
  <si>
    <t>CreditWeb</t>
  </si>
  <si>
    <t>https://webservices.apcexperian.com/SCOREPLUS/V3/SCOREService.svc</t>
  </si>
  <si>
    <t>INTELIDAT.COM</t>
  </si>
  <si>
    <t>https://www.apcexperian.com</t>
  </si>
  <si>
    <t>InteliSRC</t>
  </si>
  <si>
    <t>https://online.intelidat.com</t>
  </si>
  <si>
    <t>Estimador de Ingresos</t>
  </si>
  <si>
    <t>https://webservices.apcexperian.com/scoreplus/SBK/v1/SbkService.svc</t>
  </si>
  <si>
    <t>Secure Transport PA</t>
  </si>
  <si>
    <t>EITS</t>
  </si>
  <si>
    <t>https://securetransport.intelidat.com</t>
  </si>
  <si>
    <t>Corporacion El Sol</t>
  </si>
  <si>
    <t>https://webservices.apcexperian.com/SCOREPLUS/solScoreService.asmx</t>
  </si>
  <si>
    <t>TuIntelidat</t>
  </si>
  <si>
    <t>https://www.tuintelidat.com</t>
  </si>
  <si>
    <t>CreditWeb 22370 Production 3.0.0</t>
  </si>
  <si>
    <t>[Depends on] ESX01-CLIDC</t>
  </si>
  <si>
    <t>[Depends on] ESX02-CLIDC</t>
  </si>
  <si>
    <t>[Depends on] ESX03-CLIDC</t>
  </si>
  <si>
    <t>[Depends on] https://webservices.apc.com.pa/SCOREPLUS/V3</t>
  </si>
  <si>
    <t>[Depends on] paclpapwss03</t>
  </si>
  <si>
    <t>[Depends on] paclpapwss04</t>
  </si>
  <si>
    <t>[Depends on] paclpdbcsq01</t>
  </si>
  <si>
    <t>[Depends on] paclpdbcsq02</t>
  </si>
  <si>
    <t>[Depends on] pahwpapwss03</t>
  </si>
  <si>
    <t>[Depends on] pahwpapwss04</t>
  </si>
  <si>
    <t>[Depends on] pahwpdbcsq01</t>
  </si>
  <si>
    <t>[Depends on] pahwpdbcsq02</t>
  </si>
  <si>
    <t>[Depends on] PAHWPHYESX01</t>
  </si>
  <si>
    <t>[Depends on] PAHWPHYESX02</t>
  </si>
  <si>
    <t>[Hosted on] Panama - CWP</t>
  </si>
  <si>
    <t>[Hosted on] Panama - TIG</t>
  </si>
  <si>
    <t>[Depends on] vcenterclidc</t>
  </si>
  <si>
    <t>[Depends on] vCenterHOIDC</t>
  </si>
  <si>
    <t>Database Name</t>
  </si>
  <si>
    <t>Server name/endpoint</t>
  </si>
  <si>
    <t>CIDR</t>
  </si>
  <si>
    <t>Port</t>
  </si>
  <si>
    <t>Platform</t>
  </si>
  <si>
    <t>Environment</t>
  </si>
  <si>
    <t>APC</t>
  </si>
  <si>
    <t>pahwpdbcsq01, pahwpdbcsq02 csqlvs02\csqldb</t>
  </si>
  <si>
    <t>10.54.129.146</t>
  </si>
  <si>
    <t xml:space="preserve">SQL Server 2019 </t>
  </si>
  <si>
    <t>prd</t>
  </si>
  <si>
    <t>APC2</t>
  </si>
  <si>
    <t>APCEXPERIAN</t>
  </si>
  <si>
    <t>APC_CONSULTA</t>
  </si>
  <si>
    <t>PAHQPDBSQL01.ena.us.experian.local</t>
  </si>
  <si>
    <t>10.98.145.9</t>
  </si>
  <si>
    <t>APC_GI</t>
  </si>
  <si>
    <t>APC_HIS</t>
  </si>
  <si>
    <t>APPDB</t>
  </si>
  <si>
    <t>INFORMES_MERCADO</t>
  </si>
  <si>
    <t>INTELISCORE</t>
  </si>
  <si>
    <t>PORTALAPPSDB</t>
  </si>
  <si>
    <t>SRC20</t>
  </si>
  <si>
    <t>TUINTELIDAT</t>
  </si>
  <si>
    <t>WEBFOLDERPORTAL</t>
  </si>
  <si>
    <t>PAHQTDBSQL01.ena.us.experian.local</t>
  </si>
  <si>
    <t>10.98.145.83</t>
  </si>
  <si>
    <t>stg/uat</t>
  </si>
  <si>
    <t>WebFolderDb2</t>
  </si>
  <si>
    <t>SCOREAPC</t>
  </si>
  <si>
    <t>IntelidatPortalApps</t>
  </si>
  <si>
    <t>AppDb</t>
  </si>
  <si>
    <t>apcIntelidat</t>
  </si>
  <si>
    <t>PortalAppsDB3</t>
  </si>
  <si>
    <t>PortalAppsDB</t>
  </si>
  <si>
    <t>apcexperian</t>
  </si>
  <si>
    <t>WebFolderPortal</t>
  </si>
  <si>
    <t>SSISDB</t>
  </si>
  <si>
    <t>TuIntelidat3</t>
  </si>
  <si>
    <t>SRC203</t>
  </si>
  <si>
    <t>SRCDEMO</t>
  </si>
  <si>
    <t>APC_VLD</t>
  </si>
  <si>
    <t>APC_VLD2</t>
  </si>
  <si>
    <t>APC_VLD3</t>
  </si>
  <si>
    <t>WebFolderPortalDb2</t>
  </si>
  <si>
    <t>WebFolderPortalDb3</t>
  </si>
  <si>
    <t>TuIntelidat2</t>
  </si>
  <si>
    <t>SRC202</t>
  </si>
  <si>
    <t>PortalAppsDB2</t>
  </si>
  <si>
    <t>INTELISCORE3</t>
  </si>
  <si>
    <t>IntelidatPortalApps2</t>
  </si>
  <si>
    <t>IntelidatPortalApps3</t>
  </si>
  <si>
    <t>INTELISCORE2</t>
  </si>
  <si>
    <t>PAHQDDBSQL01.ena.us.experian.local</t>
  </si>
  <si>
    <t>10.98.145.196</t>
  </si>
  <si>
    <t>dev</t>
  </si>
  <si>
    <t>APC_INV</t>
  </si>
  <si>
    <t>APC_LOG</t>
  </si>
  <si>
    <t>APC_SIF</t>
  </si>
  <si>
    <t>APCScore</t>
  </si>
  <si>
    <t>APCTAF</t>
  </si>
  <si>
    <t>AUDIT</t>
  </si>
  <si>
    <t>BK_INTELIDAT</t>
  </si>
  <si>
    <t>CreditInfo</t>
  </si>
  <si>
    <t>CuboRepInd</t>
  </si>
  <si>
    <t>DEV_GenericNames</t>
  </si>
  <si>
    <t>DnnPortalDb</t>
  </si>
  <si>
    <t>EG_apcexperian</t>
  </si>
  <si>
    <t>EG_AppDb</t>
  </si>
  <si>
    <t>EG_INFORMES_MERCADO</t>
  </si>
  <si>
    <t>EG_PortalAppsDb</t>
  </si>
  <si>
    <t>EG_ReportServer</t>
  </si>
  <si>
    <t>EG_ReportServerTempDB</t>
  </si>
  <si>
    <t>EG_SRC20</t>
  </si>
  <si>
    <t>EG_SRC20UP</t>
  </si>
  <si>
    <t>EG_TuIntelidat</t>
  </si>
  <si>
    <t>FIPDB</t>
  </si>
  <si>
    <t>FRAUDE</t>
  </si>
  <si>
    <t>ID_HIS</t>
  </si>
  <si>
    <t>INTELIDAT9.6</t>
  </si>
  <si>
    <t>IntelidatPortalApps_9_6</t>
  </si>
  <si>
    <t>IntelidatPortalAppsUpd</t>
  </si>
  <si>
    <t>IPA_V9.12</t>
  </si>
  <si>
    <t>IPA_V9_12</t>
  </si>
  <si>
    <t>JA_APC_CONSULTA</t>
  </si>
  <si>
    <t>JA_APC_HIS</t>
  </si>
  <si>
    <t>JA_APCExperian</t>
  </si>
  <si>
    <t>JA_DNNv10</t>
  </si>
  <si>
    <t>JA_DNNV9318</t>
  </si>
  <si>
    <t>JA_PortalAppsDB</t>
  </si>
  <si>
    <t>JA_TuIntelidat</t>
  </si>
  <si>
    <t>JA_WebFolderDb</t>
  </si>
  <si>
    <t>JARDnnDbCompiler</t>
  </si>
  <si>
    <t>JARDnnDbDevelopment</t>
  </si>
  <si>
    <t>JC_DNN</t>
  </si>
  <si>
    <t>JC_PortalAppsDB</t>
  </si>
  <si>
    <t>JC_SRC20</t>
  </si>
  <si>
    <t>JC_TuIntelidat</t>
  </si>
  <si>
    <t>JC_WebFolderPortal</t>
  </si>
  <si>
    <t>KA_APC_2017</t>
  </si>
  <si>
    <t>KA_APC_CONSULTA</t>
  </si>
  <si>
    <t>KA_APC_VLD</t>
  </si>
  <si>
    <t>KA_dnnDummy</t>
  </si>
  <si>
    <t>KA_IntelidatPortalApps</t>
  </si>
  <si>
    <t>KA_INTELISCORE</t>
  </si>
  <si>
    <t>KA_SRC20</t>
  </si>
  <si>
    <t>master</t>
  </si>
  <si>
    <t>model</t>
  </si>
  <si>
    <t>msdb</t>
  </si>
  <si>
    <t>PortalAccionistas</t>
  </si>
  <si>
    <t>PRESCRIPCION</t>
  </si>
  <si>
    <t>ReportServer</t>
  </si>
  <si>
    <t>ReportServer2016</t>
  </si>
  <si>
    <t>ReportServer2016TempDB</t>
  </si>
  <si>
    <t>ReportServer2019</t>
  </si>
  <si>
    <t>ReportServer2019TempDB</t>
  </si>
  <si>
    <t>ReportServerTempDB</t>
  </si>
  <si>
    <t>SCORE_CREDIINFO</t>
  </si>
  <si>
    <t>ScoreDistribution</t>
  </si>
  <si>
    <t>SLX_APC</t>
  </si>
  <si>
    <t>SRCAPC</t>
  </si>
  <si>
    <t>sysdb</t>
  </si>
  <si>
    <t>tempdb</t>
  </si>
  <si>
    <t>WebFolderDb96</t>
  </si>
  <si>
    <t>Count of Server-Hostname</t>
  </si>
  <si>
    <t>Grand Total</t>
  </si>
  <si>
    <t>Dev Total</t>
  </si>
  <si>
    <t>Prod Total</t>
  </si>
  <si>
    <t>TEST (DEMO) Total</t>
  </si>
  <si>
    <t>UAT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</si>
</sst>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8C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151920"/>
      <name val="Arial"/>
      <family val="2"/>
    </font>
    <font>
      <u/>
      <sz val="11"/>
      <color theme="10"/>
      <name val="Calibri"/>
      <family val="2"/>
      <scheme val="minor"/>
    </font>
    <font>
      <sz val="10.5"/>
      <color rgb="FF151920"/>
      <name val="Lato"/>
      <family val="2"/>
    </font>
    <font>
      <sz val="9"/>
      <color rgb="FF000000"/>
      <name val="Verdana"/>
      <family val="2"/>
    </font>
    <font>
      <b/>
      <sz val="11"/>
      <color theme="1"/>
      <name val="Calibri"/>
      <scheme val="minor"/>
    </font>
    <font>
      <sz val="11"/>
      <color rgb="FF000000"/>
      <name val="Calibri"/>
      <charset val="1"/>
    </font>
    <font>
      <u/>
      <sz val="11"/>
      <color theme="1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3" fillId="0" borderId="0" applyNumberForma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2" applyFont="1" applyAlignment="1">
      <alignment horizontal="left" vertical="center" wrapText="1" indent="2"/>
    </xf>
    <xf numFmtId="0" fontId="6" fillId="2" borderId="0" xfId="1" applyFont="1" applyFill="1"/>
    <xf numFmtId="0" fontId="2" fillId="3" borderId="0" xfId="1" applyFill="1"/>
    <xf numFmtId="0" fontId="2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0" borderId="0" xfId="2" applyFont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49" fontId="0" fillId="3" borderId="0" xfId="0" applyNumberFormat="1" applyFill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3" borderId="0" xfId="1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4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49" fontId="0" fillId="3" borderId="0" xfId="0" applyNumberForma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left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1" fillId="3" borderId="0" xfId="0" applyFont="1" applyFill="1"/>
    <xf numFmtId="0" fontId="12" fillId="3" borderId="0" xfId="0" applyFont="1" applyFill="1"/>
    <xf numFmtId="0" fontId="4" fillId="4" borderId="0" xfId="0" applyFont="1" applyFill="1"/>
    <xf numFmtId="49" fontId="0" fillId="4" borderId="0" xfId="0" applyNumberFormat="1" applyFill="1" applyAlignment="1">
      <alignment vertical="top" wrapText="1"/>
    </xf>
    <xf numFmtId="0" fontId="0" fillId="0" borderId="0" xfId="0" applyAlignment="1">
      <alignment horizontal="center"/>
    </xf>
    <xf numFmtId="0" fontId="4" fillId="5" borderId="0" xfId="0" applyFont="1" applyFill="1"/>
    <xf numFmtId="0" fontId="10" fillId="5" borderId="0" xfId="0" applyFont="1" applyFill="1" applyAlignment="1">
      <alignment horizontal="left"/>
    </xf>
    <xf numFmtId="0" fontId="0" fillId="0" borderId="0" xfId="0" pivotButton="1"/>
    <xf numFmtId="0" fontId="0" fillId="0" borderId="1" xfId="0" applyBorder="1"/>
    <xf numFmtId="0" fontId="11" fillId="0" borderId="1" xfId="0" applyFont="1" applyBorder="1" applyAlignment="1">
      <alignment horizontal="center"/>
    </xf>
    <xf numFmtId="0" fontId="0" fillId="6" borderId="1" xfId="0" applyFill="1" applyBorder="1"/>
    <xf numFmtId="0" fontId="4" fillId="7" borderId="0" xfId="0" applyFont="1" applyFill="1"/>
    <xf numFmtId="49" fontId="0" fillId="7" borderId="0" xfId="0" applyNumberFormat="1" applyFill="1" applyAlignment="1">
      <alignment vertical="top" wrapText="1"/>
    </xf>
    <xf numFmtId="49" fontId="0" fillId="7" borderId="0" xfId="0" applyNumberFormat="1" applyFill="1" applyAlignment="1">
      <alignment vertical="center" wrapText="1"/>
    </xf>
    <xf numFmtId="0" fontId="0" fillId="7" borderId="0" xfId="0" applyFill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49" fontId="0" fillId="8" borderId="0" xfId="0" applyNumberFormat="1" applyFill="1" applyAlignment="1">
      <alignment vertical="top" wrapText="1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wrapText="1"/>
    </xf>
    <xf numFmtId="0" fontId="13" fillId="0" borderId="0" xfId="2"/>
    <xf numFmtId="0" fontId="9" fillId="9" borderId="0" xfId="0" applyFont="1" applyFill="1" applyAlignment="1">
      <alignment vertical="center" wrapText="1"/>
    </xf>
    <xf numFmtId="0" fontId="13" fillId="9" borderId="0" xfId="2" applyFill="1"/>
    <xf numFmtId="0" fontId="13" fillId="0" borderId="0" xfId="2" applyAlignment="1">
      <alignment vertical="center"/>
    </xf>
    <xf numFmtId="0" fontId="13" fillId="9" borderId="0" xfId="2" applyFill="1" applyAlignment="1">
      <alignment vertical="center"/>
    </xf>
    <xf numFmtId="0" fontId="0" fillId="3" borderId="0" xfId="0" applyFill="1" applyAlignment="1">
      <alignment wrapText="1"/>
    </xf>
  </cellXfs>
  <cellStyles count="3">
    <cellStyle name="Hipervínculo" xfId="2" builtinId="8"/>
    <cellStyle name="Normal" xfId="0" builtinId="0"/>
    <cellStyle name="Normal 2" xfId="1" xr:uid="{0695A224-7B1B-472C-9917-30CA147E60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1E10580-6F2C-7B75-453D-590A9A0DC43E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1912EA4-0E6D-129D-002B-882B284D76CB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4731C52-9102-BF62-AB0C-AA2B5B942D2B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6EAD945-F541-E518-6FFD-4971975C3999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7CC25DBA-936F-98C4-81E5-9C084CA39294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2EB62A33-DBBF-7E1F-26F8-5A726EF4C65F}"/>
            </a:ext>
          </a:extLst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89124B39-EFB9-8022-50B3-E2BA06F65F50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9B4A8692-1A46-43EE-8737-0B910789AEE4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FF1ED2D5-7CF4-876F-36B0-9AEEDDB72EDE}"/>
            </a:ext>
          </a:extLst>
        </xdr:cNvPr>
        <xdr:cNvSpPr>
          <a:spLocks noChangeAspect="1" noChangeArrowheads="1"/>
        </xdr:cNvSpPr>
      </xdr:nvSpPr>
      <xdr:spPr bwMode="auto">
        <a:xfrm>
          <a:off x="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BDF361C7-F3C4-B2E9-48FD-E731B3916BBB}"/>
            </a:ext>
          </a:extLst>
        </xdr:cNvPr>
        <xdr:cNvSpPr>
          <a:spLocks noChangeAspect="1" noChangeArrowheads="1"/>
        </xdr:cNvSpPr>
      </xdr:nvSpPr>
      <xdr:spPr bwMode="auto">
        <a:xfrm>
          <a:off x="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114300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7D16AD63-F828-3B7B-F637-C1AA6D075DCC}"/>
            </a:ext>
          </a:extLst>
        </xdr:cNvPr>
        <xdr:cNvSpPr>
          <a:spLocks noChangeAspect="1" noChangeArrowheads="1"/>
        </xdr:cNvSpPr>
      </xdr:nvSpPr>
      <xdr:spPr bwMode="auto">
        <a:xfrm>
          <a:off x="0" y="118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97E2A553-CDA2-6BF7-DA8A-D18B7BDB25C4}"/>
            </a:ext>
          </a:extLst>
        </xdr:cNvPr>
        <xdr:cNvSpPr>
          <a:spLocks noChangeAspect="1" noChangeArrowheads="1"/>
        </xdr:cNvSpPr>
      </xdr:nvSpPr>
      <xdr:spPr bwMode="auto">
        <a:xfrm>
          <a:off x="0" y="129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114300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6833E4E8-FD72-E69A-A564-CF8843B00669}"/>
            </a:ext>
          </a:extLst>
        </xdr:cNvPr>
        <xdr:cNvSpPr>
          <a:spLocks noChangeAspect="1" noChangeArrowheads="1"/>
        </xdr:cNvSpPr>
      </xdr:nvSpPr>
      <xdr:spPr bwMode="auto">
        <a:xfrm>
          <a:off x="0" y="140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24850BEB-DDD2-8F78-B460-BEE23961CCEF}"/>
            </a:ext>
          </a:extLst>
        </xdr:cNvPr>
        <xdr:cNvSpPr>
          <a:spLocks noChangeAspect="1" noChangeArrowheads="1"/>
        </xdr:cNvSpPr>
      </xdr:nvSpPr>
      <xdr:spPr bwMode="auto">
        <a:xfrm>
          <a:off x="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2645DDD2-68AA-A20E-2598-BCE666DC61F8}"/>
            </a:ext>
          </a:extLst>
        </xdr:cNvPr>
        <xdr:cNvSpPr>
          <a:spLocks noChangeAspect="1" noChangeArrowheads="1"/>
        </xdr:cNvSpPr>
      </xdr:nvSpPr>
      <xdr:spPr bwMode="auto">
        <a:xfrm>
          <a:off x="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114300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72F21908-9A42-5826-C378-60BD3CB0087B}"/>
            </a:ext>
          </a:extLst>
        </xdr:cNvPr>
        <xdr:cNvSpPr>
          <a:spLocks noChangeAspect="1" noChangeArrowheads="1"/>
        </xdr:cNvSpPr>
      </xdr:nvSpPr>
      <xdr:spPr bwMode="auto">
        <a:xfrm>
          <a:off x="0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114300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9DF87EB1-0C30-53A8-F55A-070D9A14887D}"/>
            </a:ext>
          </a:extLst>
        </xdr:cNvPr>
        <xdr:cNvSpPr>
          <a:spLocks noChangeAspect="1" noChangeArrowheads="1"/>
        </xdr:cNvSpPr>
      </xdr:nvSpPr>
      <xdr:spPr bwMode="auto">
        <a:xfrm>
          <a:off x="0" y="180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C8D0EFF8-DDAD-B82C-AB3C-37EA97DF61B5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onzalez.ext, Sara" id="{A9D86EEE-EB32-49EE-AD39-C15FAF57B7F5}" userId="S::Sara.Gonzalez.ext@experian.com::bf589f6c-0f8b-4fd9-a44a-3b54c8d6f55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6.471236111109" createdVersion="8" refreshedVersion="8" minRefreshableVersion="3" recordCount="38" xr:uid="{4BE3284F-43C4-4194-999F-9BB9B1767FC5}">
  <cacheSource type="worksheet">
    <worksheetSource ref="A1:P39" sheet="Servidores"/>
  </cacheSource>
  <cacheFields count="16">
    <cacheField name="Server-Hostname" numFmtId="0">
      <sharedItems/>
    </cacheField>
    <cacheField name="IP" numFmtId="0">
      <sharedItems/>
    </cacheField>
    <cacheField name="vCPU" numFmtId="0">
      <sharedItems containsSemiMixedTypes="0" containsString="0" containsNumber="1" containsInteger="1" minValue="2" maxValue="4"/>
    </cacheField>
    <cacheField name="Memory (GiB)" numFmtId="0">
      <sharedItems containsSemiMixedTypes="0" containsString="0" containsNumber="1" containsInteger="1" minValue="2" maxValue="24"/>
    </cacheField>
    <cacheField name="General Purpose (GB)" numFmtId="0">
      <sharedItems containsSemiMixedTypes="0" containsString="0" containsNumber="1" containsInteger="1" minValue="80" maxValue="400"/>
    </cacheField>
    <cacheField name="Environment Type" numFmtId="0">
      <sharedItems count="4">
        <s v="Prod"/>
        <s v="Dev"/>
        <s v="TEST (DEMO)"/>
        <s v="UAT"/>
      </sharedItems>
    </cacheField>
    <cacheField name="OS Name" numFmtId="0">
      <sharedItems/>
    </cacheField>
    <cacheField name="OS Version" numFmtId="0">
      <sharedItems/>
    </cacheField>
    <cacheField name="APP Description" numFmtId="0">
      <sharedItems/>
    </cacheField>
    <cacheField name="Migración" numFmtId="0">
      <sharedItems count="4">
        <s v="No"/>
        <s v="Si"/>
        <s v="Crear nuevo"/>
        <s v="Sí" u="1"/>
      </sharedItems>
    </cacheField>
    <cacheField name="Estado" numFmtId="0">
      <sharedItems containsBlank="1" count="8">
        <s v="No se debe migrar"/>
        <s v="Completado"/>
        <s v="En proceso"/>
        <s v="Desplegada"/>
        <s v="Replicando - Error de Firewall"/>
        <s v="Replicado"/>
        <s v="En Discovery" u="1"/>
        <m u="1"/>
      </sharedItems>
    </cacheField>
    <cacheField name="Fecha replicación" numFmtId="0">
      <sharedItems containsDate="1" containsBlank="1" containsMixedTypes="1" minDate="2026-07-07T00:00:00" maxDate="2026-12-04T00:00:00"/>
    </cacheField>
    <cacheField name="Fecha Pruebas funcionales" numFmtId="0">
      <sharedItems containsDate="1" containsBlank="1" containsMixedTypes="1" minDate="2026-04-10T00:00:00" maxDate="2026-04-28T00:00:00"/>
    </cacheField>
    <cacheField name="Fecha cutover" numFmtId="0">
      <sharedItems containsDate="1" containsBlank="1" containsMixedTypes="1" minDate="2026-04-29T00:00:00" maxDate="2026-11-06T00:00:00"/>
    </cacheField>
    <cacheField name="Fecha cierre" numFmtId="0">
      <sharedItems containsDate="1" containsBlank="1" containsMixedTypes="1" minDate="2026-05-06T00:00:00" maxDate="2026-05-07T00:00:00"/>
    </cacheField>
    <cacheField name="Observa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ftpserverho"/>
    <s v="192.168.210.6"/>
    <n v="2"/>
    <n v="16"/>
    <n v="260"/>
    <x v="0"/>
    <s v="WindowsOS"/>
    <s v="Windows 2016 Standard Server"/>
    <s v="APP_WebFolder"/>
    <x v="0"/>
    <x v="0"/>
    <s v="N/A"/>
    <m/>
    <m/>
    <m/>
    <s v="Informan el 8/7 que no se debe migrar. se estará migrando la aplicación en otro servidor que se estará replicando."/>
  </r>
  <r>
    <s v="PAHQDAPDSC01"/>
    <s v="192.168.132.24"/>
    <n v="4"/>
    <n v="8"/>
    <n v="80"/>
    <x v="1"/>
    <s v="Linux"/>
    <s v="Amazon Linux 2"/>
    <s v="Datasync DEV"/>
    <x v="0"/>
    <x v="0"/>
    <s v="N/A"/>
    <s v="N/A"/>
    <m/>
    <m/>
    <s v="Se deciden no migrar, son appliance de AWS que solo funcionan en onpremise"/>
  </r>
  <r>
    <s v="PAHQDAPDSC02"/>
    <s v="192.168.133.24"/>
    <n v="4"/>
    <n v="8"/>
    <n v="80"/>
    <x v="1"/>
    <s v="Linux"/>
    <s v="Amazon Linux 2"/>
    <s v="Datasync DEV"/>
    <x v="0"/>
    <x v="0"/>
    <s v="N/A"/>
    <s v="N/A"/>
    <m/>
    <m/>
    <s v="Se deciden no migrar, son appliance de AWS que solo funcionan en onpremise"/>
  </r>
  <r>
    <s v="PAHQDAPIIS01"/>
    <s v="10.98.145.197"/>
    <n v="4"/>
    <n v="24"/>
    <n v="270"/>
    <x v="1"/>
    <s v="WindowsOS"/>
    <s v="Windows 2019 Datacenter"/>
    <s v="All"/>
    <x v="1"/>
    <x v="1"/>
    <d v="2026-12-03T00:00:00"/>
    <d v="2026-04-27T00:00:00"/>
    <d v="2026-11-05T00:00:00"/>
    <d v="2026-05-06T00:00:00"/>
    <s v="10/04: se despliega, pendiente pruebas funcionales. 20/04 se esperan pruebas funcionales para el 21/04. Compliance finaliza el 5/6"/>
  </r>
  <r>
    <s v="pahqdapwss01"/>
    <s v="192.168.133.10"/>
    <n v="4"/>
    <n v="8"/>
    <n v="200"/>
    <x v="2"/>
    <s v="WindowsOS"/>
    <s v="Windows 2016 Datacenter"/>
    <s v="Webfolder, webservices, SRC, TuintelidatWs"/>
    <x v="1"/>
    <x v="2"/>
    <m/>
    <m/>
    <m/>
    <m/>
    <m/>
  </r>
  <r>
    <s v="PAHQDFSDSC01"/>
    <s v="10.98.145.206"/>
    <n v="4"/>
    <n v="8"/>
    <n v="80"/>
    <x v="1"/>
    <s v="WindowsOS"/>
    <s v="Windows Server 2022 Standard"/>
    <s v="Datasync File Server DEV"/>
    <x v="0"/>
    <x v="0"/>
    <s v="N/A"/>
    <s v="N/A"/>
    <m/>
    <m/>
    <s v="Se deciden no migrar, son appliance de AWS que solo funcionan en onpremise"/>
  </r>
  <r>
    <s v="PAHQDWFINT01"/>
    <s v="10.98.145.203"/>
    <n v="4"/>
    <n v="8"/>
    <n v="80"/>
    <x v="1"/>
    <s v="WindowsOS"/>
    <s v="Windows Server 2022 Standard"/>
    <s v="Wobfolder Intermedio (WebFolder Online)"/>
    <x v="1"/>
    <x v="1"/>
    <s v="13/03/2026"/>
    <d v="2026-04-27T00:00:00"/>
    <d v="2026-11-05T00:00:00"/>
    <d v="2026-05-06T00:00:00"/>
    <s v="13/04: hoy se despliega para pruebas funcionales. 20/04 se esperan pruebas funcionales para el 21/04. Compliance finaliza el 5/6"/>
  </r>
  <r>
    <s v="pahqpapapp02"/>
    <s v="192.168.130.39"/>
    <n v="4"/>
    <n v="8"/>
    <n v="280"/>
    <x v="0"/>
    <s v="WindowsOS"/>
    <s v="Windows Server 2019 Standard"/>
    <s v="APP_InternalApps"/>
    <x v="2"/>
    <x v="3"/>
    <s v="13/7/2026"/>
    <m/>
    <m/>
    <m/>
    <s v="Desplegar nueva EC2 WS 2025"/>
  </r>
  <r>
    <s v="PAHQPMORAP01"/>
    <s v="172.16.4.65"/>
    <n v="4"/>
    <n v="8"/>
    <n v="80"/>
    <x v="0"/>
    <s v="WindowsOS"/>
    <s v="Windows Server 2019 Standard"/>
    <s v="Monitoreo Rapid 7"/>
    <x v="0"/>
    <x v="0"/>
    <s v="N/A"/>
    <m/>
    <m/>
    <m/>
    <s v="Es para monitoreo de infra onpremise, no es necesario migrar a nube."/>
  </r>
  <r>
    <s v="PAHQPSCDIS01"/>
    <s v="172.16.4.49"/>
    <n v="4"/>
    <n v="8"/>
    <n v="210"/>
    <x v="0"/>
    <s v="WindowsOS"/>
    <s v="Windows Server 2019 Standard"/>
    <s v="System Center"/>
    <x v="0"/>
    <x v="0"/>
    <s v="N/A"/>
    <m/>
    <m/>
    <m/>
    <s v="Es para instalación de parches de estaciones de usuario onpremise."/>
  </r>
  <r>
    <s v="pahqtapbof01"/>
    <s v="192.168.131.52"/>
    <n v="2"/>
    <n v="2"/>
    <n v="80"/>
    <x v="3"/>
    <s v="Linux"/>
    <s v="Ubuntu 22.04.3 LTS"/>
    <s v="Backoffice APP_Intelidat"/>
    <x v="1"/>
    <x v="1"/>
    <d v="2026-12-03T00:00:00"/>
    <d v="2026-04-10T00:00:00"/>
    <s v="30/4/2026"/>
    <d v="2026-05-06T00:00:00"/>
    <s v="Compliance finaliza el 5/6"/>
  </r>
  <r>
    <s v="PAHQTAPDSC01"/>
    <s v="192.168.131.57"/>
    <n v="2"/>
    <n v="8"/>
    <n v="80"/>
    <x v="3"/>
    <s v="Linux"/>
    <s v="Amazon Linux 2"/>
    <s v="Datasync UAT"/>
    <x v="0"/>
    <x v="0"/>
    <s v="N/A"/>
    <s v="N/A"/>
    <m/>
    <m/>
    <s v="Se deciden no migrar, son appliance de AWS que solo funcionan en onpremise"/>
  </r>
  <r>
    <s v="pahqtapiis01"/>
    <s v="10.98.145.78"/>
    <n v="4"/>
    <n v="16"/>
    <n v="210"/>
    <x v="3"/>
    <s v="WindowsOS"/>
    <s v="Windows 2016 Standard Server"/>
    <s v="APP_AmbienteUAT"/>
    <x v="1"/>
    <x v="1"/>
    <d v="2026-12-03T00:00:00"/>
    <d v="2026-04-10T00:00:00"/>
    <d v="2026-04-29T00:00:00"/>
    <s v="29/4/2026"/>
    <s v="Compliance finaliza el 5/6. Se incluye en la POC de Datadog"/>
  </r>
  <r>
    <s v="PAHQTAPSTE01"/>
    <s v="10.98.145.120"/>
    <n v="4"/>
    <n v="8"/>
    <n v="400"/>
    <x v="3"/>
    <s v="Linux"/>
    <s v="Red Hat Enterprise Linux 8.9 (64-bit)"/>
    <s v="Secure Transport PA (frontend)"/>
    <x v="1"/>
    <x v="1"/>
    <s v="19/04/2026"/>
    <m/>
    <s v="30/4/2026"/>
    <d v="2026-05-06T00:00:00"/>
    <s v="Pendiente definición de Experian, si se migrará en este proyecto o no. Se confirma el 08/04/2026 que se debe incluir en este alcance. 20/04 Pendiente pruebas funcionales. Compliance finaliza el 5/6. Se incluye en la POC de Datadog"/>
  </r>
  <r>
    <s v="PAHQTAPSTS01"/>
    <s v="10.98.145.119"/>
    <n v="4"/>
    <n v="8"/>
    <n v="400"/>
    <x v="3"/>
    <s v="Linux"/>
    <s v="Red Hat Enterprise Linux 8.9 (64-bit)"/>
    <s v="Secure Transport PA (backend)"/>
    <x v="1"/>
    <x v="1"/>
    <s v="20/04/2026"/>
    <m/>
    <s v="30/4/2026"/>
    <d v="2026-05-06T00:00:00"/>
    <s v="Pendiente definición de Experian, si se migrará en este proyecto o no. Se confirma el 08/04/2026 que se debe incluir en este alcance. 21/04: se presentó un error de acceso que no permite probar. Compliance finaliza el 5/6"/>
  </r>
  <r>
    <s v="PAHQTFSDSC01"/>
    <s v="192.168.131.58"/>
    <n v="4"/>
    <n v="8"/>
    <n v="80"/>
    <x v="3"/>
    <s v="WindowsOS"/>
    <s v="Windows Server 2022 Standard"/>
    <s v="Datasync File Server UAT"/>
    <x v="1"/>
    <x v="1"/>
    <s v="20/4/2026"/>
    <m/>
    <s v="30/4/2026"/>
    <d v="2026-05-06T00:00:00"/>
    <s v="Se deciden no migrar, son appliance de AWS que solo funcionan en onpremise. El 20/04 se informa que sí debe ser migrado- Compliance finaliza el 5/6."/>
  </r>
  <r>
    <s v="pahqtfsint02"/>
    <s v="192.168.130.26"/>
    <n v="4"/>
    <n v="8"/>
    <n v="200"/>
    <x v="0"/>
    <s v="WindowsOS"/>
    <s v="Windows Server 2019 Standard"/>
    <s v="APP_TareasArea"/>
    <x v="0"/>
    <x v="0"/>
    <s v="N/A"/>
    <m/>
    <m/>
    <m/>
    <s v="Desplegar nueva EC2 WS 2025,_x000a_Alberto menciona que no se migra ni se crea. 13/07/2026"/>
  </r>
  <r>
    <s v="pahqtwfint01"/>
    <s v="192.168.131.51"/>
    <n v="4"/>
    <n v="8"/>
    <n v="80"/>
    <x v="3"/>
    <s v="WindowsOS"/>
    <s v="Windows Server 2019 Standard"/>
    <s v="APP_WebFolder (WebFolder Online)"/>
    <x v="1"/>
    <x v="1"/>
    <d v="2026-12-03T00:00:00"/>
    <d v="2026-04-10T00:00:00"/>
    <s v="30/4/2026"/>
    <d v="2026-05-06T00:00:00"/>
    <s v="Compliance finaliza el 5/6. Se incluye en la POC de Datadog"/>
  </r>
  <r>
    <s v="pahwpapbof01"/>
    <s v="192.168.230.23"/>
    <n v="4"/>
    <n v="2"/>
    <n v="80"/>
    <x v="0"/>
    <s v="Linux"/>
    <s v="Ubuntu 22.04.3 LTS"/>
    <s v="Backoffice APP_Intelidat"/>
    <x v="1"/>
    <x v="4"/>
    <d v="2026-09-07T00:00:00"/>
    <m/>
    <m/>
    <m/>
    <m/>
  </r>
  <r>
    <s v="PAHWPAPDSC01"/>
    <s v="10.54.128.24"/>
    <n v="4"/>
    <n v="8"/>
    <n v="210"/>
    <x v="0"/>
    <s v="Linux"/>
    <s v="Amazon Linux 2"/>
    <s v="Agente Datasync ambiente de Producción"/>
    <x v="0"/>
    <x v="0"/>
    <s v="N/A"/>
    <s v="N/A"/>
    <m/>
    <m/>
    <s v="Se deciden no migrar, son appliance de AWS que solo funcionan en onpremise"/>
  </r>
  <r>
    <s v="pahwpapsrc03"/>
    <s v="192.168.210.53"/>
    <n v="4"/>
    <n v="8"/>
    <n v="210"/>
    <x v="0"/>
    <s v="WindowsOS"/>
    <s v="Windows Server 2022 Standard"/>
    <s v="APP_SRC"/>
    <x v="1"/>
    <x v="5"/>
    <d v="2026-07-07T00:00:00"/>
    <m/>
    <m/>
    <m/>
    <m/>
  </r>
  <r>
    <s v="pahwpapsrc04"/>
    <s v="192.168.210.54"/>
    <n v="4"/>
    <n v="8"/>
    <n v="210"/>
    <x v="0"/>
    <s v="WindowsOS"/>
    <s v="Windows Server 2022 Standard"/>
    <s v="APP_SRC"/>
    <x v="0"/>
    <x v="0"/>
    <s v="N/A"/>
    <m/>
    <m/>
    <m/>
    <s v="Informan el 8/7 que no se debe migrar. no se requiere porque ya se subió pahwpapsrc03 y se aplicará autoscaling"/>
  </r>
  <r>
    <s v="PAHWPAPSTE01"/>
    <s v="192.168.210.83"/>
    <n v="4"/>
    <n v="8"/>
    <n v="210"/>
    <x v="0"/>
    <s v="Linux"/>
    <s v="Red Hat Enterprise Linux release 8.9"/>
    <s v="APP_SecureTransport (frontend)"/>
    <x v="1"/>
    <x v="5"/>
    <d v="2026-09-07T00:00:00"/>
    <m/>
    <m/>
    <m/>
    <m/>
  </r>
  <r>
    <s v="PAHWPAPSTS01"/>
    <s v="10.54.129.228"/>
    <n v="4"/>
    <n v="8"/>
    <n v="400"/>
    <x v="0"/>
    <s v="Linux"/>
    <s v="Red Hat Enterprise Linux release 8.9"/>
    <s v="APP_SecureTransport (Servidor)"/>
    <x v="1"/>
    <x v="5"/>
    <d v="2026-09-07T00:00:00"/>
    <m/>
    <m/>
    <m/>
    <m/>
  </r>
  <r>
    <s v="pahwpaptui03"/>
    <s v="192.168.210.63"/>
    <n v="4"/>
    <n v="8"/>
    <n v="210"/>
    <x v="0"/>
    <s v="WindowsOS"/>
    <s v="Windows Server 2022 Standard"/>
    <s v="APP_Intelidat"/>
    <x v="1"/>
    <x v="5"/>
    <d v="2026-07-07T00:00:00"/>
    <m/>
    <m/>
    <m/>
    <m/>
  </r>
  <r>
    <s v="pahwpaptui04"/>
    <s v="192.168.210.64"/>
    <n v="4"/>
    <n v="8"/>
    <n v="210"/>
    <x v="0"/>
    <s v="WindowsOS"/>
    <s v="Windows Server 2022 Standard"/>
    <s v="APP_Intelidat"/>
    <x v="0"/>
    <x v="0"/>
    <s v="N/A"/>
    <m/>
    <m/>
    <m/>
    <s v="no se debe replicar, se solventa con el autoscaling del servidor pahwpaptui03"/>
  </r>
  <r>
    <s v="PAHWPAPWEF02"/>
    <s v="192.168.210.11"/>
    <n v="4"/>
    <n v="8"/>
    <n v="210"/>
    <x v="0"/>
    <s v="WindowsOS"/>
    <s v="Windows Server 2022 Standard"/>
    <s v="Tarea Validador"/>
    <x v="1"/>
    <x v="5"/>
    <d v="2026-09-07T00:00:00"/>
    <m/>
    <m/>
    <m/>
    <m/>
  </r>
  <r>
    <s v="pahwpapwfc01"/>
    <s v="192.168.210.30"/>
    <n v="4"/>
    <n v="8"/>
    <n v="210"/>
    <x v="0"/>
    <s v="WindowsOS"/>
    <s v="Windows Server 2019 Standard"/>
    <s v="Webfolder"/>
    <x v="1"/>
    <x v="5"/>
    <d v="2026-10-07T00:00:00"/>
    <m/>
    <m/>
    <m/>
    <m/>
  </r>
  <r>
    <s v="pahwpapwfc02"/>
    <s v="192.168.210.50"/>
    <n v="4"/>
    <n v="8"/>
    <n v="210"/>
    <x v="0"/>
    <s v="WindowsOS"/>
    <s v="Windows Server 2019 Standard"/>
    <s v="Webfolder"/>
    <x v="0"/>
    <x v="0"/>
    <s v="N/A"/>
    <m/>
    <m/>
    <m/>
    <s v="no se debe replicar, se solventa con el autoscaling del servidor pahwpapwfc01"/>
  </r>
  <r>
    <s v="pahwpapwss03"/>
    <s v="192.168.210.43"/>
    <n v="4"/>
    <n v="8"/>
    <n v="210"/>
    <x v="0"/>
    <s v="WindowsOS"/>
    <s v="Windows Server 2022 Standard"/>
    <s v="APP_webservices"/>
    <x v="1"/>
    <x v="5"/>
    <d v="2026-07-07T00:00:00"/>
    <m/>
    <m/>
    <m/>
    <m/>
  </r>
  <r>
    <s v="pahwpapwss04"/>
    <s v="192.168.210.44"/>
    <n v="4"/>
    <n v="8"/>
    <n v="210"/>
    <x v="0"/>
    <s v="WindowsOS"/>
    <s v="Windows Server 2022 Standard"/>
    <s v="APP_webservices"/>
    <x v="0"/>
    <x v="0"/>
    <s v="N/A"/>
    <m/>
    <m/>
    <m/>
    <s v="no se debe replicar, se solventa con el autoscaling del servidor pahwpapwss03"/>
  </r>
  <r>
    <s v="pahwpchecs01"/>
    <s v="192.168.210.61"/>
    <n v="4"/>
    <n v="16"/>
    <n v="210"/>
    <x v="0"/>
    <s v="WindowsOS"/>
    <s v="Windows Server 2022 Standard"/>
    <s v="ECS Chile"/>
    <x v="1"/>
    <x v="5"/>
    <d v="2026-07-07T00:00:00"/>
    <m/>
    <m/>
    <m/>
    <m/>
  </r>
  <r>
    <s v="pahwpchecs02"/>
    <s v="192.168.210.62"/>
    <n v="4"/>
    <n v="16"/>
    <n v="210"/>
    <x v="0"/>
    <s v="WindowsOS"/>
    <s v="Windows Server 2022 Standard"/>
    <s v="ECS Chile"/>
    <x v="0"/>
    <x v="0"/>
    <s v="N/A"/>
    <m/>
    <m/>
    <m/>
    <s v="no se debe replicar, se solventa con el autoscaling del servidor pahwpchecs01"/>
  </r>
  <r>
    <s v="pahwpfsasc01"/>
    <s v="192.168.245.15"/>
    <n v="4"/>
    <n v="8"/>
    <n v="240"/>
    <x v="0"/>
    <s v="WindowsOS"/>
    <s v="Windows Server 2022 Standard"/>
    <s v="Tareas de Ascend AWS"/>
    <x v="2"/>
    <x v="3"/>
    <s v="13/7/2026"/>
    <m/>
    <m/>
    <m/>
    <s v="Desplegar nueva EC2 WS 2025"/>
  </r>
  <r>
    <s v="PAHWPFSDSC01"/>
    <s v="192.1.68.242.24"/>
    <n v="4"/>
    <n v="8"/>
    <n v="80"/>
    <x v="0"/>
    <s v="WindowsOS"/>
    <s v="Windows Server 2022 Standard"/>
    <s v="Datasync File Server Prod"/>
    <x v="0"/>
    <x v="0"/>
    <s v="N/A"/>
    <s v="N/A"/>
    <m/>
    <m/>
    <s v="Se deciden no migrar, son appliance de AWS que solo funcionan en onpremise"/>
  </r>
  <r>
    <s v="PAHWPWFINT01"/>
    <s v="192.168.242.20"/>
    <n v="4"/>
    <n v="8"/>
    <n v="210"/>
    <x v="0"/>
    <s v="WindowsOS"/>
    <s v="Windows Server 2019 Standard"/>
    <s v="Servidor intermedio para archivos WebFolder"/>
    <x v="1"/>
    <x v="5"/>
    <d v="2026-09-07T00:00:00"/>
    <m/>
    <m/>
    <m/>
    <s v="Desplegar nueva EC2 WS 2025. 8/7: Alberto confirma que si debe migrarse y no crearse como nuevo"/>
  </r>
  <r>
    <s v="pahwpwsapi01"/>
    <s v="192.168.245.30"/>
    <n v="4"/>
    <n v="8"/>
    <n v="210"/>
    <x v="0"/>
    <s v="WindowsOS"/>
    <s v="Windows Server 2022 Standard"/>
    <s v="WebServer para API AscendOpsService"/>
    <x v="1"/>
    <x v="5"/>
    <d v="2026-07-07T00:00:00"/>
    <m/>
    <m/>
    <m/>
    <m/>
  </r>
  <r>
    <s v="pahwpwsapi02"/>
    <s v="192.168.245.40"/>
    <n v="4"/>
    <n v="8"/>
    <n v="210"/>
    <x v="0"/>
    <s v="WindowsOS"/>
    <s v="Windows Server 2022 Standard"/>
    <s v="WebServer para API AscendOpsService"/>
    <x v="0"/>
    <x v="0"/>
    <s v="N/A"/>
    <m/>
    <m/>
    <m/>
    <s v="no se debe replicar, se solventa con el autoscaling del servidor pahwpwsapi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1A348-1A0E-4C9D-BF0F-CB7551F6E058}" name="PivotTable1" cacheId="7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17" firstHeaderRow="1" firstDataRow="2" firstDataCol="2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5">
        <item x="0"/>
        <item x="1"/>
        <item m="1" x="3"/>
        <item x="2"/>
        <item t="default"/>
      </items>
    </pivotField>
    <pivotField axis="axisRow" compact="0" outline="0" showAll="0">
      <items count="9">
        <item x="1"/>
        <item x="2"/>
        <item x="0"/>
        <item m="1" x="7"/>
        <item m="1" x="6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10"/>
  </rowFields>
  <rowItems count="14">
    <i>
      <x/>
      <x/>
    </i>
    <i r="1">
      <x v="2"/>
    </i>
    <i t="default">
      <x/>
    </i>
    <i>
      <x v="1"/>
      <x v="2"/>
    </i>
    <i r="1">
      <x v="5"/>
    </i>
    <i r="1">
      <x v="6"/>
    </i>
    <i r="1">
      <x v="7"/>
    </i>
    <i t="default">
      <x v="1"/>
    </i>
    <i>
      <x v="2"/>
      <x v="1"/>
    </i>
    <i t="default">
      <x v="2"/>
    </i>
    <i>
      <x v="3"/>
      <x/>
    </i>
    <i r="1">
      <x v="2"/>
    </i>
    <i t="default">
      <x v="3"/>
    </i>
    <i t="grand">
      <x/>
    </i>
  </rowItems>
  <colFields count="1">
    <field x="9"/>
  </colFields>
  <colItems count="4">
    <i>
      <x/>
    </i>
    <i>
      <x v="1"/>
    </i>
    <i>
      <x v="3"/>
    </i>
    <i t="grand">
      <x/>
    </i>
  </colItems>
  <dataFields count="1">
    <dataField name="Count of Server-Host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3-02T16:54:48.41" personId="{A9D86EEE-EB32-49EE-AD39-C15FAF57B7F5}" id="{AEA79F14-EDF0-4323-A0A9-53560C68024D}">
    <text>Ambiente Pre-Productivo, no se debe migrar en Marzo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ebservices.apcexperian.com/SCOREPLUS/solScoreService.asmx" TargetMode="External"/><Relationship Id="rId3" Type="http://schemas.openxmlformats.org/officeDocument/2006/relationships/hyperlink" Target="https://webservices.apcexperian.com/SCOREPLUS/V3/SCOREService.svc" TargetMode="External"/><Relationship Id="rId7" Type="http://schemas.openxmlformats.org/officeDocument/2006/relationships/hyperlink" Target="https://securetransport.intelidat.com/" TargetMode="External"/><Relationship Id="rId2" Type="http://schemas.openxmlformats.org/officeDocument/2006/relationships/hyperlink" Target="https://mobile.apc.com.pa/Intelidatappv4" TargetMode="External"/><Relationship Id="rId1" Type="http://schemas.openxmlformats.org/officeDocument/2006/relationships/hyperlink" Target="https://webfolder.intelidat.com" TargetMode="External"/><Relationship Id="rId6" Type="http://schemas.openxmlformats.org/officeDocument/2006/relationships/hyperlink" Target="https://webservices.apcexperian.com/scoreplus/SBK/v1/SbkService.svc" TargetMode="External"/><Relationship Id="rId5" Type="http://schemas.openxmlformats.org/officeDocument/2006/relationships/hyperlink" Target="https://online.intelidat.com" TargetMode="External"/><Relationship Id="rId10" Type="http://schemas.openxmlformats.org/officeDocument/2006/relationships/hyperlink" Target="https://webservices.apcexperian.com/SCOREPLUS/StandarVars/StandarVarsService.svc" TargetMode="External"/><Relationship Id="rId4" Type="http://schemas.openxmlformats.org/officeDocument/2006/relationships/hyperlink" Target="https://www.apcexperian.com" TargetMode="External"/><Relationship Id="rId9" Type="http://schemas.openxmlformats.org/officeDocument/2006/relationships/hyperlink" Target="https://www.tuintelidat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xperian.service-now.com/cmdb_ci_win_server.do?sys_id=e6a00173933a39dcb5b63a7febba1068&amp;sysparm_view=apm_services" TargetMode="External"/><Relationship Id="rId13" Type="http://schemas.openxmlformats.org/officeDocument/2006/relationships/hyperlink" Target="https://experian.service-now.com/u_cmdb_ci_appliance_server.do?sys_id=43e1628a93507290081d71ffebba106d&amp;sysparm_view=apm_services" TargetMode="External"/><Relationship Id="rId18" Type="http://schemas.openxmlformats.org/officeDocument/2006/relationships/hyperlink" Target="https://experian.service-now.com/u_cmdb_ci_appliance_server.do?sys_id=d6519d56935be654b5b63a7febba10ee&amp;sysparm_view=apm_services" TargetMode="External"/><Relationship Id="rId3" Type="http://schemas.openxmlformats.org/officeDocument/2006/relationships/hyperlink" Target="https://experian.service-now.com/u_cmdb_ci_appliance_server.do?sys_id=36f1e435476fb994d4510f6c716d43bf&amp;sysparm_view=apm_services" TargetMode="External"/><Relationship Id="rId7" Type="http://schemas.openxmlformats.org/officeDocument/2006/relationships/hyperlink" Target="https://experian.service-now.com/cmdb_ci_win_server.do?sys_id=245b3c73937639dcb5b63a7febba10b9&amp;sysparm_view=apm_services" TargetMode="External"/><Relationship Id="rId12" Type="http://schemas.openxmlformats.org/officeDocument/2006/relationships/hyperlink" Target="https://experian.service-now.com/cmdb_ci_win_server.do?sys_id=bac4343b937239dcb5b63a7febba10f8&amp;sysparm_view=apm_services" TargetMode="External"/><Relationship Id="rId17" Type="http://schemas.openxmlformats.org/officeDocument/2006/relationships/hyperlink" Target="https://experian.service-now.com/u_cmdb_ci_appliance_server.do?sys_id=0223591a939be654b5b63a7febba10e2&amp;sysparm_view=apm_services" TargetMode="External"/><Relationship Id="rId2" Type="http://schemas.openxmlformats.org/officeDocument/2006/relationships/hyperlink" Target="https://experian.service-now.com/u_cmdb_ci_appliance_server.do?sys_id=dabc1f9147233594d4510f6c716d4312&amp;sysparm_view=apm_services" TargetMode="External"/><Relationship Id="rId16" Type="http://schemas.openxmlformats.org/officeDocument/2006/relationships/hyperlink" Target="https://experian.service-now.com/cmdb_ci_datacenter.do?sys_id=ddd9eb8f83f6e210b8506a70deaad37f&amp;sysparm_view=apm_services" TargetMode="External"/><Relationship Id="rId1" Type="http://schemas.openxmlformats.org/officeDocument/2006/relationships/hyperlink" Target="https://experian.service-now.com/u_cmdb_ci_appliance_server.do?sys_id=ed72e21547e7b194d4510f6c716d43bb&amp;sysparm_view=apm_services" TargetMode="External"/><Relationship Id="rId6" Type="http://schemas.openxmlformats.org/officeDocument/2006/relationships/hyperlink" Target="https://experian.service-now.com/cmdb_ci_win_server.do?sys_id=1c5a010b83158a941e6feb80ceaad366&amp;sysparm_view=apm_services" TargetMode="External"/><Relationship Id="rId11" Type="http://schemas.openxmlformats.org/officeDocument/2006/relationships/hyperlink" Target="https://experian.service-now.com/cmdb_ci_win_server.do?sys_id=2d46e8fb937af5dcb5b63a7febba10e0&amp;sysparm_view=apm_services" TargetMode="External"/><Relationship Id="rId5" Type="http://schemas.openxmlformats.org/officeDocument/2006/relationships/hyperlink" Target="https://experian.service-now.com/cmdb_ci_win_server.do?sys_id=04f885cf83d18a941e6feb80ceaad3b6&amp;sysparm_view=apm_services" TargetMode="External"/><Relationship Id="rId15" Type="http://schemas.openxmlformats.org/officeDocument/2006/relationships/hyperlink" Target="https://experian.service-now.com/cmdb_ci_datacenter.do?sys_id=214eaa9347632e90e29d8155516d43ab&amp;sysparm_view=apm_services" TargetMode="External"/><Relationship Id="rId10" Type="http://schemas.openxmlformats.org/officeDocument/2006/relationships/hyperlink" Target="https://experian.service-now.com/cmdb_ci_win_server.do?sys_id=c717c18783d18a941e6feb80ceaad32d&amp;sysparm_view=apm_services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experian.service-now.com/cmdb_ci_endpoint_http.do?sys_id=7fba4820932d3e50a92d309febba1023&amp;sysparm_view=apm_services" TargetMode="External"/><Relationship Id="rId9" Type="http://schemas.openxmlformats.org/officeDocument/2006/relationships/hyperlink" Target="https://experian.service-now.com/cmdb_ci_win_server.do?sys_id=5615cd0783918a941e6feb80ceaad3fe&amp;sysparm_view=apm_services" TargetMode="External"/><Relationship Id="rId14" Type="http://schemas.openxmlformats.org/officeDocument/2006/relationships/hyperlink" Target="https://experian.service-now.com/u_cmdb_ci_appliance_server.do?sys_id=4d3b228a93547290081d71ffebba10ac&amp;sysparm_view=apm_services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6"/>
  <sheetViews>
    <sheetView tabSelected="1" topLeftCell="H1" zoomScale="145" zoomScaleNormal="145" workbookViewId="0">
      <selection activeCell="F46" sqref="F46"/>
    </sheetView>
  </sheetViews>
  <sheetFormatPr defaultColWidth="9.140625" defaultRowHeight="15" customHeight="1"/>
  <cols>
    <col min="1" max="1" width="17.5703125" style="22" customWidth="1"/>
    <col min="2" max="2" width="15.28515625" style="22" customWidth="1"/>
    <col min="3" max="3" width="8.42578125" style="22" customWidth="1"/>
    <col min="4" max="4" width="13" style="22" customWidth="1"/>
    <col min="5" max="5" width="13.5703125" style="22" customWidth="1"/>
    <col min="6" max="6" width="15.5703125" style="22" customWidth="1"/>
    <col min="7" max="7" width="14.5703125" style="22" customWidth="1"/>
    <col min="8" max="8" width="33.140625" style="22" customWidth="1"/>
    <col min="9" max="9" width="40.5703125" style="22" customWidth="1"/>
    <col min="10" max="10" width="15" style="23" customWidth="1"/>
    <col min="11" max="11" width="28.28515625" style="22" customWidth="1"/>
    <col min="12" max="12" width="24" style="23" customWidth="1"/>
    <col min="13" max="15" width="17.5703125" style="22" customWidth="1"/>
    <col min="16" max="16" width="176.5703125" style="22" bestFit="1" customWidth="1"/>
    <col min="17" max="16384" width="9.140625" style="22"/>
  </cols>
  <sheetData>
    <row r="1" spans="1:16" ht="15.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</row>
    <row r="2" spans="1:16" s="51" customFormat="1" hidden="1">
      <c r="A2" s="48" t="s">
        <v>16</v>
      </c>
      <c r="B2" s="48" t="s">
        <v>17</v>
      </c>
      <c r="C2" s="49">
        <v>2</v>
      </c>
      <c r="D2" s="49">
        <v>16</v>
      </c>
      <c r="E2" s="49">
        <v>260</v>
      </c>
      <c r="F2" s="49" t="s">
        <v>18</v>
      </c>
      <c r="G2" s="48" t="s">
        <v>19</v>
      </c>
      <c r="H2" s="48" t="s">
        <v>20</v>
      </c>
      <c r="I2" s="48" t="s">
        <v>21</v>
      </c>
      <c r="J2" s="49" t="s">
        <v>22</v>
      </c>
      <c r="K2" s="51" t="s">
        <v>23</v>
      </c>
      <c r="L2" s="23" t="s">
        <v>24</v>
      </c>
      <c r="P2" s="51" t="s">
        <v>25</v>
      </c>
    </row>
    <row r="3" spans="1:16" ht="18.75" hidden="1" customHeight="1">
      <c r="A3" s="17" t="s">
        <v>26</v>
      </c>
      <c r="B3" s="30" t="s">
        <v>27</v>
      </c>
      <c r="C3" s="16">
        <v>4</v>
      </c>
      <c r="D3" s="16">
        <v>8</v>
      </c>
      <c r="E3" s="16">
        <v>80</v>
      </c>
      <c r="F3" s="16" t="s">
        <v>28</v>
      </c>
      <c r="G3" s="17" t="s">
        <v>29</v>
      </c>
      <c r="H3" s="17" t="s">
        <v>30</v>
      </c>
      <c r="I3" s="16" t="s">
        <v>31</v>
      </c>
      <c r="J3" s="16" t="s">
        <v>22</v>
      </c>
      <c r="K3" s="23" t="s">
        <v>23</v>
      </c>
      <c r="L3" s="23" t="s">
        <v>24</v>
      </c>
      <c r="M3" s="23" t="s">
        <v>24</v>
      </c>
      <c r="N3" s="23"/>
      <c r="O3" s="23"/>
      <c r="P3" s="22" t="s">
        <v>32</v>
      </c>
    </row>
    <row r="4" spans="1:16" hidden="1">
      <c r="A4" s="17" t="s">
        <v>33</v>
      </c>
      <c r="B4" s="30" t="s">
        <v>34</v>
      </c>
      <c r="C4" s="16">
        <v>4</v>
      </c>
      <c r="D4" s="16">
        <v>8</v>
      </c>
      <c r="E4" s="16">
        <v>80</v>
      </c>
      <c r="F4" s="16" t="s">
        <v>28</v>
      </c>
      <c r="G4" s="17" t="s">
        <v>29</v>
      </c>
      <c r="H4" s="17" t="s">
        <v>30</v>
      </c>
      <c r="I4" s="16" t="s">
        <v>31</v>
      </c>
      <c r="J4" s="16" t="s">
        <v>22</v>
      </c>
      <c r="K4" s="23" t="s">
        <v>23</v>
      </c>
      <c r="L4" s="23" t="s">
        <v>24</v>
      </c>
      <c r="M4" s="23" t="s">
        <v>24</v>
      </c>
      <c r="N4" s="23"/>
      <c r="O4" s="23"/>
      <c r="P4" s="22" t="s">
        <v>32</v>
      </c>
    </row>
    <row r="5" spans="1:16" ht="17.25" hidden="1" customHeight="1">
      <c r="A5" s="17" t="s">
        <v>35</v>
      </c>
      <c r="B5" s="38" t="s">
        <v>36</v>
      </c>
      <c r="C5" s="16">
        <v>4</v>
      </c>
      <c r="D5" s="16">
        <v>24</v>
      </c>
      <c r="E5" s="16">
        <v>270</v>
      </c>
      <c r="F5" s="16" t="s">
        <v>28</v>
      </c>
      <c r="G5" s="17" t="s">
        <v>19</v>
      </c>
      <c r="H5" s="17" t="s">
        <v>37</v>
      </c>
      <c r="I5" s="17" t="s">
        <v>38</v>
      </c>
      <c r="J5" s="16" t="s">
        <v>39</v>
      </c>
      <c r="K5" s="23" t="s">
        <v>40</v>
      </c>
      <c r="L5" s="24">
        <v>46359</v>
      </c>
      <c r="M5" s="24">
        <v>46139</v>
      </c>
      <c r="N5" s="24">
        <v>46331</v>
      </c>
      <c r="O5" s="24">
        <v>46148</v>
      </c>
      <c r="P5" s="22" t="s">
        <v>41</v>
      </c>
    </row>
    <row r="6" spans="1:16" ht="21" hidden="1" customHeight="1">
      <c r="A6" s="17" t="s">
        <v>42</v>
      </c>
      <c r="B6" s="38" t="s">
        <v>43</v>
      </c>
      <c r="C6" s="16">
        <v>4</v>
      </c>
      <c r="D6" s="16">
        <v>8</v>
      </c>
      <c r="E6" s="16">
        <v>200</v>
      </c>
      <c r="F6" s="16" t="s">
        <v>44</v>
      </c>
      <c r="G6" s="17" t="s">
        <v>19</v>
      </c>
      <c r="H6" s="17" t="s">
        <v>45</v>
      </c>
      <c r="I6" s="17" t="s">
        <v>46</v>
      </c>
      <c r="J6" s="16" t="s">
        <v>39</v>
      </c>
      <c r="K6" s="23" t="s">
        <v>47</v>
      </c>
      <c r="M6" s="23"/>
      <c r="N6" s="23"/>
      <c r="O6" s="23"/>
    </row>
    <row r="7" spans="1:16" hidden="1">
      <c r="A7" s="17" t="s">
        <v>48</v>
      </c>
      <c r="B7" s="30" t="s">
        <v>49</v>
      </c>
      <c r="C7" s="16">
        <v>4</v>
      </c>
      <c r="D7" s="16">
        <v>8</v>
      </c>
      <c r="E7" s="16">
        <v>80</v>
      </c>
      <c r="F7" s="16" t="s">
        <v>28</v>
      </c>
      <c r="G7" s="17" t="s">
        <v>19</v>
      </c>
      <c r="H7" s="18" t="s">
        <v>50</v>
      </c>
      <c r="I7" s="16" t="s">
        <v>51</v>
      </c>
      <c r="J7" s="16" t="s">
        <v>22</v>
      </c>
      <c r="K7" s="23" t="s">
        <v>23</v>
      </c>
      <c r="L7" s="23" t="s">
        <v>24</v>
      </c>
      <c r="M7" s="23" t="s">
        <v>24</v>
      </c>
      <c r="N7" s="23"/>
      <c r="O7" s="23"/>
      <c r="P7" s="22" t="s">
        <v>32</v>
      </c>
    </row>
    <row r="8" spans="1:16" ht="16.5" hidden="1" customHeight="1">
      <c r="A8" s="17" t="s">
        <v>52</v>
      </c>
      <c r="B8" s="38" t="s">
        <v>53</v>
      </c>
      <c r="C8" s="16">
        <v>4</v>
      </c>
      <c r="D8" s="16">
        <v>8</v>
      </c>
      <c r="E8" s="16">
        <v>80</v>
      </c>
      <c r="F8" s="16" t="s">
        <v>28</v>
      </c>
      <c r="G8" s="17" t="s">
        <v>19</v>
      </c>
      <c r="H8" s="18" t="s">
        <v>50</v>
      </c>
      <c r="I8" s="16" t="s">
        <v>54</v>
      </c>
      <c r="J8" s="16" t="s">
        <v>39</v>
      </c>
      <c r="K8" s="23" t="s">
        <v>40</v>
      </c>
      <c r="L8" s="23" t="s">
        <v>55</v>
      </c>
      <c r="M8" s="24">
        <v>46139</v>
      </c>
      <c r="N8" s="24">
        <v>46331</v>
      </c>
      <c r="O8" s="24">
        <v>46148</v>
      </c>
      <c r="P8" s="22" t="s">
        <v>56</v>
      </c>
    </row>
    <row r="9" spans="1:16">
      <c r="A9" s="17" t="s">
        <v>57</v>
      </c>
      <c r="B9" s="17" t="s">
        <v>58</v>
      </c>
      <c r="C9" s="16">
        <v>4</v>
      </c>
      <c r="D9" s="16">
        <v>8</v>
      </c>
      <c r="E9" s="16">
        <v>280</v>
      </c>
      <c r="F9" s="16" t="s">
        <v>18</v>
      </c>
      <c r="G9" s="17" t="s">
        <v>19</v>
      </c>
      <c r="H9" s="18" t="s">
        <v>59</v>
      </c>
      <c r="I9" s="17" t="s">
        <v>60</v>
      </c>
      <c r="J9" s="16" t="s">
        <v>61</v>
      </c>
      <c r="K9" s="22" t="s">
        <v>62</v>
      </c>
      <c r="L9" s="23" t="s">
        <v>63</v>
      </c>
      <c r="M9" s="23"/>
      <c r="N9" s="23"/>
      <c r="O9" s="23"/>
      <c r="P9" s="22" t="s">
        <v>64</v>
      </c>
    </row>
    <row r="10" spans="1:16" hidden="1">
      <c r="A10" s="17" t="s">
        <v>65</v>
      </c>
      <c r="B10" s="17" t="s">
        <v>66</v>
      </c>
      <c r="C10" s="16">
        <v>4</v>
      </c>
      <c r="D10" s="16">
        <v>8</v>
      </c>
      <c r="E10" s="16">
        <v>80</v>
      </c>
      <c r="F10" s="16" t="s">
        <v>18</v>
      </c>
      <c r="G10" s="17" t="s">
        <v>19</v>
      </c>
      <c r="H10" s="18" t="s">
        <v>59</v>
      </c>
      <c r="I10" s="17" t="s">
        <v>67</v>
      </c>
      <c r="J10" s="16" t="s">
        <v>22</v>
      </c>
      <c r="K10" s="23" t="s">
        <v>23</v>
      </c>
      <c r="L10" s="23" t="s">
        <v>24</v>
      </c>
      <c r="M10" s="23"/>
      <c r="N10" s="23"/>
      <c r="O10" s="23"/>
      <c r="P10" s="22" t="s">
        <v>68</v>
      </c>
    </row>
    <row r="11" spans="1:16" hidden="1">
      <c r="A11" s="17" t="s">
        <v>69</v>
      </c>
      <c r="B11" s="17" t="s">
        <v>70</v>
      </c>
      <c r="C11" s="16">
        <v>4</v>
      </c>
      <c r="D11" s="16">
        <v>8</v>
      </c>
      <c r="E11" s="16">
        <v>210</v>
      </c>
      <c r="F11" s="16" t="s">
        <v>18</v>
      </c>
      <c r="G11" s="17" t="s">
        <v>19</v>
      </c>
      <c r="H11" s="18" t="s">
        <v>59</v>
      </c>
      <c r="I11" s="17" t="s">
        <v>71</v>
      </c>
      <c r="J11" s="16" t="s">
        <v>22</v>
      </c>
      <c r="K11" s="23" t="s">
        <v>23</v>
      </c>
      <c r="L11" s="23" t="s">
        <v>24</v>
      </c>
      <c r="M11" s="23"/>
      <c r="N11" s="23"/>
      <c r="O11" s="23"/>
      <c r="P11" s="22" t="s">
        <v>72</v>
      </c>
    </row>
    <row r="12" spans="1:16" hidden="1">
      <c r="A12" s="17" t="s">
        <v>73</v>
      </c>
      <c r="B12" s="38" t="s">
        <v>74</v>
      </c>
      <c r="C12" s="16">
        <v>2</v>
      </c>
      <c r="D12" s="16">
        <v>2</v>
      </c>
      <c r="E12" s="16">
        <v>80</v>
      </c>
      <c r="F12" s="16" t="s">
        <v>75</v>
      </c>
      <c r="G12" s="17" t="s">
        <v>29</v>
      </c>
      <c r="H12" s="17" t="s">
        <v>76</v>
      </c>
      <c r="I12" s="17" t="s">
        <v>77</v>
      </c>
      <c r="J12" s="16" t="s">
        <v>39</v>
      </c>
      <c r="K12" s="23" t="s">
        <v>40</v>
      </c>
      <c r="L12" s="24">
        <v>46359</v>
      </c>
      <c r="M12" s="24">
        <v>46122</v>
      </c>
      <c r="N12" s="24" t="s">
        <v>78</v>
      </c>
      <c r="O12" s="24">
        <v>46148</v>
      </c>
      <c r="P12" s="34" t="s">
        <v>79</v>
      </c>
    </row>
    <row r="13" spans="1:16" ht="15.75" hidden="1" customHeight="1">
      <c r="A13" s="17" t="s">
        <v>80</v>
      </c>
      <c r="B13" s="30" t="s">
        <v>81</v>
      </c>
      <c r="C13" s="16">
        <v>2</v>
      </c>
      <c r="D13" s="16">
        <v>8</v>
      </c>
      <c r="E13" s="16">
        <v>80</v>
      </c>
      <c r="F13" s="16" t="s">
        <v>75</v>
      </c>
      <c r="G13" s="17" t="s">
        <v>29</v>
      </c>
      <c r="H13" s="17" t="s">
        <v>30</v>
      </c>
      <c r="I13" s="16" t="s">
        <v>82</v>
      </c>
      <c r="J13" s="16" t="s">
        <v>22</v>
      </c>
      <c r="K13" s="23" t="s">
        <v>23</v>
      </c>
      <c r="L13" s="23" t="s">
        <v>24</v>
      </c>
      <c r="M13" s="23" t="s">
        <v>24</v>
      </c>
      <c r="N13" s="23"/>
      <c r="O13" s="23"/>
      <c r="P13" s="22" t="s">
        <v>32</v>
      </c>
    </row>
    <row r="14" spans="1:16" ht="15.75" hidden="1" customHeight="1">
      <c r="A14" s="17" t="s">
        <v>83</v>
      </c>
      <c r="B14" s="38" t="s">
        <v>84</v>
      </c>
      <c r="C14" s="16">
        <v>4</v>
      </c>
      <c r="D14" s="16">
        <v>16</v>
      </c>
      <c r="E14" s="16">
        <v>210</v>
      </c>
      <c r="F14" s="16" t="s">
        <v>75</v>
      </c>
      <c r="G14" s="17" t="s">
        <v>19</v>
      </c>
      <c r="H14" s="17" t="s">
        <v>20</v>
      </c>
      <c r="I14" s="17" t="s">
        <v>85</v>
      </c>
      <c r="J14" s="16" t="s">
        <v>39</v>
      </c>
      <c r="K14" s="23" t="s">
        <v>40</v>
      </c>
      <c r="L14" s="24">
        <v>46359</v>
      </c>
      <c r="M14" s="24">
        <v>46122</v>
      </c>
      <c r="N14" s="24">
        <v>46141</v>
      </c>
      <c r="O14" s="24" t="s">
        <v>86</v>
      </c>
      <c r="P14" s="34" t="s">
        <v>87</v>
      </c>
    </row>
    <row r="15" spans="1:16" ht="12.75" hidden="1" customHeight="1">
      <c r="A15" s="17" t="s">
        <v>88</v>
      </c>
      <c r="B15" s="38" t="s">
        <v>89</v>
      </c>
      <c r="C15" s="16">
        <v>4</v>
      </c>
      <c r="D15" s="16">
        <v>8</v>
      </c>
      <c r="E15" s="16">
        <v>400</v>
      </c>
      <c r="F15" s="16" t="s">
        <v>75</v>
      </c>
      <c r="G15" s="17" t="s">
        <v>29</v>
      </c>
      <c r="H15" s="17" t="s">
        <v>90</v>
      </c>
      <c r="I15" s="16" t="s">
        <v>91</v>
      </c>
      <c r="J15" s="16" t="s">
        <v>39</v>
      </c>
      <c r="K15" s="23" t="s">
        <v>40</v>
      </c>
      <c r="L15" s="24" t="s">
        <v>92</v>
      </c>
      <c r="M15" s="23"/>
      <c r="N15" s="24" t="s">
        <v>78</v>
      </c>
      <c r="O15" s="24">
        <v>46148</v>
      </c>
      <c r="P15" s="22" t="s">
        <v>93</v>
      </c>
    </row>
    <row r="16" spans="1:16" ht="15.75" hidden="1" customHeight="1">
      <c r="A16" s="17" t="s">
        <v>94</v>
      </c>
      <c r="B16" s="38" t="s">
        <v>95</v>
      </c>
      <c r="C16" s="16">
        <v>4</v>
      </c>
      <c r="D16" s="16">
        <v>8</v>
      </c>
      <c r="E16" s="16">
        <v>400</v>
      </c>
      <c r="F16" s="16" t="s">
        <v>75</v>
      </c>
      <c r="G16" s="17" t="s">
        <v>29</v>
      </c>
      <c r="H16" s="17" t="s">
        <v>90</v>
      </c>
      <c r="I16" s="16" t="s">
        <v>96</v>
      </c>
      <c r="J16" s="16" t="s">
        <v>39</v>
      </c>
      <c r="K16" s="23" t="s">
        <v>40</v>
      </c>
      <c r="L16" s="24" t="s">
        <v>97</v>
      </c>
      <c r="M16" s="23"/>
      <c r="N16" s="24" t="s">
        <v>78</v>
      </c>
      <c r="O16" s="24">
        <v>46148</v>
      </c>
      <c r="P16" s="22" t="s">
        <v>98</v>
      </c>
    </row>
    <row r="17" spans="1:16" ht="15.75" hidden="1" customHeight="1">
      <c r="A17" s="17" t="s">
        <v>99</v>
      </c>
      <c r="B17" s="39" t="s">
        <v>100</v>
      </c>
      <c r="C17" s="16">
        <v>4</v>
      </c>
      <c r="D17" s="16">
        <v>8</v>
      </c>
      <c r="E17" s="16">
        <v>80</v>
      </c>
      <c r="F17" s="16" t="s">
        <v>75</v>
      </c>
      <c r="G17" s="17" t="s">
        <v>19</v>
      </c>
      <c r="H17" s="18" t="s">
        <v>50</v>
      </c>
      <c r="I17" s="16" t="s">
        <v>101</v>
      </c>
      <c r="J17" s="16" t="s">
        <v>39</v>
      </c>
      <c r="K17" s="23" t="s">
        <v>40</v>
      </c>
      <c r="L17" s="23" t="s">
        <v>102</v>
      </c>
      <c r="M17" s="23"/>
      <c r="N17" s="24" t="s">
        <v>78</v>
      </c>
      <c r="O17" s="24">
        <v>46148</v>
      </c>
      <c r="P17" s="22" t="s">
        <v>103</v>
      </c>
    </row>
    <row r="18" spans="1:16" s="51" customFormat="1" ht="30.75" hidden="1">
      <c r="A18" s="48" t="s">
        <v>104</v>
      </c>
      <c r="B18" s="48" t="s">
        <v>105</v>
      </c>
      <c r="C18" s="49">
        <v>4</v>
      </c>
      <c r="D18" s="49">
        <v>8</v>
      </c>
      <c r="E18" s="49">
        <v>200</v>
      </c>
      <c r="F18" s="49" t="s">
        <v>18</v>
      </c>
      <c r="G18" s="48" t="s">
        <v>19</v>
      </c>
      <c r="H18" s="50" t="s">
        <v>59</v>
      </c>
      <c r="I18" s="48" t="s">
        <v>106</v>
      </c>
      <c r="J18" s="49" t="s">
        <v>22</v>
      </c>
      <c r="K18" s="51" t="s">
        <v>23</v>
      </c>
      <c r="L18" s="52" t="s">
        <v>24</v>
      </c>
      <c r="M18" s="52"/>
      <c r="N18" s="52"/>
      <c r="O18" s="52"/>
      <c r="P18" s="53" t="s">
        <v>107</v>
      </c>
    </row>
    <row r="19" spans="1:16" ht="15.75" hidden="1" customHeight="1">
      <c r="A19" s="17" t="s">
        <v>108</v>
      </c>
      <c r="B19" s="38" t="s">
        <v>109</v>
      </c>
      <c r="C19" s="16">
        <v>4</v>
      </c>
      <c r="D19" s="16">
        <v>8</v>
      </c>
      <c r="E19" s="16">
        <v>80</v>
      </c>
      <c r="F19" s="16" t="s">
        <v>75</v>
      </c>
      <c r="G19" s="17" t="s">
        <v>19</v>
      </c>
      <c r="H19" s="18" t="s">
        <v>59</v>
      </c>
      <c r="I19" s="17" t="s">
        <v>110</v>
      </c>
      <c r="J19" s="16" t="s">
        <v>39</v>
      </c>
      <c r="K19" s="23" t="s">
        <v>40</v>
      </c>
      <c r="L19" s="24">
        <v>46359</v>
      </c>
      <c r="M19" s="24">
        <v>46122</v>
      </c>
      <c r="N19" s="24" t="s">
        <v>78</v>
      </c>
      <c r="O19" s="24">
        <v>46148</v>
      </c>
      <c r="P19" s="34" t="s">
        <v>87</v>
      </c>
    </row>
    <row r="20" spans="1:16" ht="15.75" customHeight="1">
      <c r="A20" s="17" t="s">
        <v>111</v>
      </c>
      <c r="B20" s="17" t="s">
        <v>112</v>
      </c>
      <c r="C20" s="16">
        <v>4</v>
      </c>
      <c r="D20" s="16">
        <v>2</v>
      </c>
      <c r="E20" s="16">
        <v>80</v>
      </c>
      <c r="F20" s="16" t="s">
        <v>18</v>
      </c>
      <c r="G20" s="17" t="s">
        <v>29</v>
      </c>
      <c r="H20" s="17" t="s">
        <v>76</v>
      </c>
      <c r="I20" s="17" t="s">
        <v>77</v>
      </c>
      <c r="J20" s="16" t="s">
        <v>61</v>
      </c>
      <c r="K20" s="22" t="s">
        <v>113</v>
      </c>
      <c r="L20" s="24">
        <v>46272</v>
      </c>
      <c r="P20" s="22" t="s">
        <v>114</v>
      </c>
    </row>
    <row r="21" spans="1:16" ht="15.75" hidden="1" customHeight="1">
      <c r="A21" s="17" t="s">
        <v>115</v>
      </c>
      <c r="B21" s="17" t="s">
        <v>116</v>
      </c>
      <c r="C21" s="16">
        <v>4</v>
      </c>
      <c r="D21" s="16">
        <v>8</v>
      </c>
      <c r="E21" s="16">
        <v>210</v>
      </c>
      <c r="F21" s="16" t="s">
        <v>18</v>
      </c>
      <c r="G21" s="17" t="s">
        <v>29</v>
      </c>
      <c r="H21" s="17" t="s">
        <v>30</v>
      </c>
      <c r="I21" s="17" t="s">
        <v>117</v>
      </c>
      <c r="J21" s="16" t="s">
        <v>22</v>
      </c>
      <c r="K21" s="23" t="s">
        <v>23</v>
      </c>
      <c r="L21" s="23" t="s">
        <v>24</v>
      </c>
      <c r="M21" s="23" t="s">
        <v>24</v>
      </c>
      <c r="N21" s="23"/>
      <c r="O21" s="23"/>
      <c r="P21" s="22" t="s">
        <v>32</v>
      </c>
    </row>
    <row r="22" spans="1:16" ht="15.75" customHeight="1">
      <c r="A22" s="35" t="s">
        <v>118</v>
      </c>
      <c r="B22" s="17" t="s">
        <v>119</v>
      </c>
      <c r="C22" s="16">
        <v>4</v>
      </c>
      <c r="D22" s="16">
        <v>8</v>
      </c>
      <c r="E22" s="16">
        <v>210</v>
      </c>
      <c r="F22" s="16" t="s">
        <v>18</v>
      </c>
      <c r="G22" s="17" t="s">
        <v>19</v>
      </c>
      <c r="H22" s="18" t="s">
        <v>50</v>
      </c>
      <c r="I22" s="17" t="s">
        <v>120</v>
      </c>
      <c r="J22" s="16" t="s">
        <v>61</v>
      </c>
      <c r="K22" s="22" t="s">
        <v>121</v>
      </c>
      <c r="L22" s="24">
        <v>46210</v>
      </c>
      <c r="P22" s="22" t="s">
        <v>122</v>
      </c>
    </row>
    <row r="23" spans="1:16" s="51" customFormat="1" ht="15.75" hidden="1" customHeight="1">
      <c r="A23" s="48" t="s">
        <v>123</v>
      </c>
      <c r="B23" s="48" t="s">
        <v>124</v>
      </c>
      <c r="C23" s="49">
        <v>4</v>
      </c>
      <c r="D23" s="49">
        <v>8</v>
      </c>
      <c r="E23" s="49">
        <v>210</v>
      </c>
      <c r="F23" s="49" t="s">
        <v>18</v>
      </c>
      <c r="G23" s="48" t="s">
        <v>19</v>
      </c>
      <c r="H23" s="50" t="s">
        <v>50</v>
      </c>
      <c r="I23" s="48" t="s">
        <v>120</v>
      </c>
      <c r="J23" s="49" t="s">
        <v>22</v>
      </c>
      <c r="K23" s="51" t="s">
        <v>23</v>
      </c>
      <c r="L23" s="23" t="s">
        <v>24</v>
      </c>
      <c r="P23" s="51" t="s">
        <v>125</v>
      </c>
    </row>
    <row r="24" spans="1:16" ht="15.75" customHeight="1">
      <c r="A24" s="35" t="s">
        <v>126</v>
      </c>
      <c r="B24" s="17" t="s">
        <v>127</v>
      </c>
      <c r="C24" s="16">
        <v>4</v>
      </c>
      <c r="D24" s="16">
        <v>8</v>
      </c>
      <c r="E24" s="16">
        <v>210</v>
      </c>
      <c r="F24" s="16" t="s">
        <v>18</v>
      </c>
      <c r="G24" s="17" t="s">
        <v>29</v>
      </c>
      <c r="H24" s="17" t="s">
        <v>128</v>
      </c>
      <c r="I24" s="17" t="s">
        <v>129</v>
      </c>
      <c r="J24" s="16" t="s">
        <v>61</v>
      </c>
      <c r="K24" s="22" t="s">
        <v>121</v>
      </c>
      <c r="L24" s="24">
        <v>46272</v>
      </c>
      <c r="P24" s="22" t="s">
        <v>114</v>
      </c>
    </row>
    <row r="25" spans="1:16" ht="15.75" customHeight="1">
      <c r="A25" s="35" t="s">
        <v>130</v>
      </c>
      <c r="B25" s="17" t="s">
        <v>131</v>
      </c>
      <c r="C25" s="16">
        <v>4</v>
      </c>
      <c r="D25" s="16">
        <v>8</v>
      </c>
      <c r="E25" s="16">
        <v>400</v>
      </c>
      <c r="F25" s="16" t="s">
        <v>18</v>
      </c>
      <c r="G25" s="17" t="s">
        <v>29</v>
      </c>
      <c r="H25" s="17" t="s">
        <v>128</v>
      </c>
      <c r="I25" s="17" t="s">
        <v>132</v>
      </c>
      <c r="J25" s="16" t="s">
        <v>61</v>
      </c>
      <c r="K25" s="22" t="s">
        <v>121</v>
      </c>
      <c r="L25" s="24">
        <v>46272</v>
      </c>
      <c r="P25" s="22" t="s">
        <v>114</v>
      </c>
    </row>
    <row r="26" spans="1:16" ht="15.75" customHeight="1">
      <c r="A26" s="35" t="s">
        <v>133</v>
      </c>
      <c r="B26" s="17" t="s">
        <v>134</v>
      </c>
      <c r="C26" s="16">
        <v>4</v>
      </c>
      <c r="D26" s="16">
        <v>8</v>
      </c>
      <c r="E26" s="16">
        <v>210</v>
      </c>
      <c r="F26" s="16" t="s">
        <v>18</v>
      </c>
      <c r="G26" s="17" t="s">
        <v>19</v>
      </c>
      <c r="H26" s="18" t="s">
        <v>50</v>
      </c>
      <c r="I26" s="17" t="s">
        <v>135</v>
      </c>
      <c r="J26" s="16" t="s">
        <v>61</v>
      </c>
      <c r="K26" s="22" t="s">
        <v>121</v>
      </c>
      <c r="L26" s="24">
        <v>46210</v>
      </c>
      <c r="P26" s="59" t="s">
        <v>136</v>
      </c>
    </row>
    <row r="27" spans="1:16" ht="15.75" hidden="1" customHeight="1">
      <c r="A27" s="44" t="s">
        <v>137</v>
      </c>
      <c r="B27" s="17" t="s">
        <v>138</v>
      </c>
      <c r="C27" s="16">
        <v>4</v>
      </c>
      <c r="D27" s="16">
        <v>8</v>
      </c>
      <c r="E27" s="16">
        <v>210</v>
      </c>
      <c r="F27" s="16" t="s">
        <v>18</v>
      </c>
      <c r="G27" s="17" t="s">
        <v>19</v>
      </c>
      <c r="H27" s="18" t="s">
        <v>50</v>
      </c>
      <c r="I27" s="17" t="s">
        <v>135</v>
      </c>
      <c r="J27" s="16" t="s">
        <v>22</v>
      </c>
      <c r="K27" s="22" t="s">
        <v>23</v>
      </c>
      <c r="L27" s="23" t="s">
        <v>24</v>
      </c>
      <c r="P27" s="22" t="s">
        <v>139</v>
      </c>
    </row>
    <row r="28" spans="1:16" ht="15.75" customHeight="1">
      <c r="A28" s="35" t="s">
        <v>140</v>
      </c>
      <c r="B28" s="17" t="s">
        <v>141</v>
      </c>
      <c r="C28" s="16">
        <v>4</v>
      </c>
      <c r="D28" s="16">
        <v>8</v>
      </c>
      <c r="E28" s="16">
        <v>210</v>
      </c>
      <c r="F28" s="16" t="s">
        <v>18</v>
      </c>
      <c r="G28" s="17" t="s">
        <v>19</v>
      </c>
      <c r="H28" s="18" t="s">
        <v>50</v>
      </c>
      <c r="I28" s="17" t="s">
        <v>142</v>
      </c>
      <c r="J28" s="16" t="s">
        <v>61</v>
      </c>
      <c r="K28" s="22" t="s">
        <v>121</v>
      </c>
      <c r="L28" s="24">
        <v>46272</v>
      </c>
      <c r="P28" s="22" t="s">
        <v>114</v>
      </c>
    </row>
    <row r="29" spans="1:16" ht="15.75" customHeight="1">
      <c r="A29" s="36" t="s">
        <v>143</v>
      </c>
      <c r="B29" s="17" t="s">
        <v>144</v>
      </c>
      <c r="C29" s="16">
        <v>4</v>
      </c>
      <c r="D29" s="16">
        <v>8</v>
      </c>
      <c r="E29" s="16">
        <v>210</v>
      </c>
      <c r="F29" s="16" t="s">
        <v>18</v>
      </c>
      <c r="G29" s="17" t="s">
        <v>19</v>
      </c>
      <c r="H29" s="18" t="s">
        <v>59</v>
      </c>
      <c r="I29" s="25" t="s">
        <v>145</v>
      </c>
      <c r="J29" s="16" t="s">
        <v>61</v>
      </c>
      <c r="K29" s="22" t="s">
        <v>121</v>
      </c>
      <c r="L29" s="24">
        <v>46302</v>
      </c>
      <c r="P29" s="22" t="s">
        <v>122</v>
      </c>
    </row>
    <row r="30" spans="1:16" ht="15.75" hidden="1" customHeight="1">
      <c r="A30" s="45" t="s">
        <v>146</v>
      </c>
      <c r="B30" s="17" t="s">
        <v>147</v>
      </c>
      <c r="C30" s="16">
        <v>4</v>
      </c>
      <c r="D30" s="16">
        <v>8</v>
      </c>
      <c r="E30" s="16">
        <v>210</v>
      </c>
      <c r="F30" s="16" t="s">
        <v>18</v>
      </c>
      <c r="G30" s="17" t="s">
        <v>19</v>
      </c>
      <c r="H30" s="18" t="s">
        <v>59</v>
      </c>
      <c r="I30" s="26" t="s">
        <v>148</v>
      </c>
      <c r="J30" s="16" t="s">
        <v>22</v>
      </c>
      <c r="K30" s="22" t="s">
        <v>23</v>
      </c>
      <c r="L30" s="23" t="s">
        <v>24</v>
      </c>
      <c r="P30" s="22" t="s">
        <v>149</v>
      </c>
    </row>
    <row r="31" spans="1:16" ht="15.75" customHeight="1">
      <c r="A31" s="35" t="s">
        <v>150</v>
      </c>
      <c r="B31" s="17" t="s">
        <v>151</v>
      </c>
      <c r="C31" s="16">
        <v>4</v>
      </c>
      <c r="D31" s="16">
        <v>8</v>
      </c>
      <c r="E31" s="16">
        <v>210</v>
      </c>
      <c r="F31" s="16" t="s">
        <v>18</v>
      </c>
      <c r="G31" s="17" t="s">
        <v>19</v>
      </c>
      <c r="H31" s="18" t="s">
        <v>50</v>
      </c>
      <c r="I31" s="17" t="s">
        <v>152</v>
      </c>
      <c r="J31" s="16" t="s">
        <v>61</v>
      </c>
      <c r="K31" s="22" t="s">
        <v>121</v>
      </c>
      <c r="L31" s="24">
        <v>46210</v>
      </c>
      <c r="P31" s="22" t="s">
        <v>122</v>
      </c>
    </row>
    <row r="32" spans="1:16" ht="15.75" hidden="1" customHeight="1">
      <c r="A32" s="44" t="s">
        <v>153</v>
      </c>
      <c r="B32" s="17" t="s">
        <v>154</v>
      </c>
      <c r="C32" s="16">
        <v>4</v>
      </c>
      <c r="D32" s="16">
        <v>8</v>
      </c>
      <c r="E32" s="16">
        <v>210</v>
      </c>
      <c r="F32" s="16" t="s">
        <v>18</v>
      </c>
      <c r="G32" s="17" t="s">
        <v>19</v>
      </c>
      <c r="H32" s="18" t="s">
        <v>50</v>
      </c>
      <c r="I32" s="17" t="s">
        <v>152</v>
      </c>
      <c r="J32" s="16" t="s">
        <v>22</v>
      </c>
      <c r="K32" s="22" t="s">
        <v>23</v>
      </c>
      <c r="L32" s="23" t="s">
        <v>24</v>
      </c>
      <c r="P32" s="22" t="s">
        <v>155</v>
      </c>
    </row>
    <row r="33" spans="1:16" ht="15.75" customHeight="1">
      <c r="A33" s="35" t="s">
        <v>156</v>
      </c>
      <c r="B33" s="17" t="s">
        <v>157</v>
      </c>
      <c r="C33" s="16">
        <v>4</v>
      </c>
      <c r="D33" s="16">
        <v>16</v>
      </c>
      <c r="E33" s="16">
        <v>210</v>
      </c>
      <c r="F33" s="16" t="s">
        <v>18</v>
      </c>
      <c r="G33" s="17" t="s">
        <v>19</v>
      </c>
      <c r="H33" s="18" t="s">
        <v>50</v>
      </c>
      <c r="I33" s="17" t="s">
        <v>158</v>
      </c>
      <c r="J33" s="16" t="s">
        <v>61</v>
      </c>
      <c r="K33" s="22" t="s">
        <v>121</v>
      </c>
      <c r="L33" s="24">
        <v>46210</v>
      </c>
      <c r="P33" s="22" t="s">
        <v>114</v>
      </c>
    </row>
    <row r="34" spans="1:16" ht="15.75" hidden="1" customHeight="1">
      <c r="A34" s="44" t="s">
        <v>159</v>
      </c>
      <c r="B34" s="17" t="s">
        <v>160</v>
      </c>
      <c r="C34" s="16">
        <v>4</v>
      </c>
      <c r="D34" s="16">
        <v>16</v>
      </c>
      <c r="E34" s="16">
        <v>210</v>
      </c>
      <c r="F34" s="16" t="s">
        <v>18</v>
      </c>
      <c r="G34" s="17" t="s">
        <v>19</v>
      </c>
      <c r="H34" s="18" t="s">
        <v>50</v>
      </c>
      <c r="I34" s="17" t="s">
        <v>158</v>
      </c>
      <c r="J34" s="16" t="s">
        <v>22</v>
      </c>
      <c r="K34" s="22" t="s">
        <v>23</v>
      </c>
      <c r="L34" s="23" t="s">
        <v>24</v>
      </c>
      <c r="P34" s="22" t="s">
        <v>161</v>
      </c>
    </row>
    <row r="35" spans="1:16" ht="15.75" customHeight="1">
      <c r="A35" s="35" t="s">
        <v>162</v>
      </c>
      <c r="B35" s="17" t="s">
        <v>163</v>
      </c>
      <c r="C35" s="16">
        <v>4</v>
      </c>
      <c r="D35" s="16">
        <v>8</v>
      </c>
      <c r="E35" s="16">
        <v>240</v>
      </c>
      <c r="F35" s="16" t="s">
        <v>18</v>
      </c>
      <c r="G35" s="17" t="s">
        <v>19</v>
      </c>
      <c r="H35" s="18" t="s">
        <v>50</v>
      </c>
      <c r="I35" s="25" t="s">
        <v>164</v>
      </c>
      <c r="J35" s="16" t="s">
        <v>61</v>
      </c>
      <c r="K35" s="22" t="s">
        <v>62</v>
      </c>
      <c r="L35" s="23" t="s">
        <v>63</v>
      </c>
      <c r="P35" s="22" t="s">
        <v>64</v>
      </c>
    </row>
    <row r="36" spans="1:16" hidden="1">
      <c r="A36" s="17" t="s">
        <v>165</v>
      </c>
      <c r="B36" s="17" t="s">
        <v>166</v>
      </c>
      <c r="C36" s="16">
        <v>4</v>
      </c>
      <c r="D36" s="16">
        <v>8</v>
      </c>
      <c r="E36" s="16">
        <v>80</v>
      </c>
      <c r="F36" s="16" t="s">
        <v>18</v>
      </c>
      <c r="G36" s="17" t="s">
        <v>19</v>
      </c>
      <c r="H36" s="18" t="s">
        <v>50</v>
      </c>
      <c r="I36" s="16" t="s">
        <v>167</v>
      </c>
      <c r="J36" s="16" t="s">
        <v>22</v>
      </c>
      <c r="K36" s="23" t="s">
        <v>23</v>
      </c>
      <c r="L36" s="23" t="s">
        <v>24</v>
      </c>
      <c r="M36" s="23" t="s">
        <v>24</v>
      </c>
      <c r="N36" s="23"/>
      <c r="O36" s="23"/>
      <c r="P36" s="22" t="s">
        <v>32</v>
      </c>
    </row>
    <row r="37" spans="1:16" ht="15.75" customHeight="1">
      <c r="A37" s="35" t="s">
        <v>168</v>
      </c>
      <c r="B37" s="17" t="s">
        <v>169</v>
      </c>
      <c r="C37" s="16">
        <v>4</v>
      </c>
      <c r="D37" s="16">
        <v>8</v>
      </c>
      <c r="E37" s="16">
        <v>210</v>
      </c>
      <c r="F37" s="16" t="s">
        <v>18</v>
      </c>
      <c r="G37" s="17" t="s">
        <v>19</v>
      </c>
      <c r="H37" s="18" t="s">
        <v>59</v>
      </c>
      <c r="I37" s="17" t="s">
        <v>170</v>
      </c>
      <c r="J37" s="16" t="s">
        <v>61</v>
      </c>
      <c r="K37" s="22" t="s">
        <v>121</v>
      </c>
      <c r="L37" s="24">
        <v>46272</v>
      </c>
      <c r="P37" s="22" t="s">
        <v>171</v>
      </c>
    </row>
    <row r="38" spans="1:16">
      <c r="A38" s="36" t="s">
        <v>172</v>
      </c>
      <c r="B38" s="17" t="s">
        <v>173</v>
      </c>
      <c r="C38" s="16">
        <v>4</v>
      </c>
      <c r="D38" s="16">
        <v>8</v>
      </c>
      <c r="E38" s="16">
        <v>210</v>
      </c>
      <c r="F38" s="16" t="s">
        <v>18</v>
      </c>
      <c r="G38" s="17" t="s">
        <v>19</v>
      </c>
      <c r="H38" s="18" t="s">
        <v>50</v>
      </c>
      <c r="I38" s="25" t="s">
        <v>174</v>
      </c>
      <c r="J38" s="16" t="s">
        <v>61</v>
      </c>
      <c r="K38" s="22" t="s">
        <v>121</v>
      </c>
      <c r="L38" s="24">
        <v>46210</v>
      </c>
      <c r="P38" s="22" t="s">
        <v>114</v>
      </c>
    </row>
    <row r="39" spans="1:16" s="29" customFormat="1" hidden="1">
      <c r="A39" s="46" t="s">
        <v>175</v>
      </c>
      <c r="B39" s="27" t="s">
        <v>176</v>
      </c>
      <c r="C39" s="16">
        <v>4</v>
      </c>
      <c r="D39" s="31">
        <v>8</v>
      </c>
      <c r="E39" s="31">
        <v>210</v>
      </c>
      <c r="F39" s="31" t="s">
        <v>18</v>
      </c>
      <c r="G39" s="32" t="s">
        <v>19</v>
      </c>
      <c r="H39" s="27" t="s">
        <v>50</v>
      </c>
      <c r="I39" s="28" t="s">
        <v>174</v>
      </c>
      <c r="J39" s="16" t="s">
        <v>22</v>
      </c>
      <c r="K39" s="22" t="s">
        <v>23</v>
      </c>
      <c r="L39" s="23" t="s">
        <v>24</v>
      </c>
      <c r="P39" s="22" t="s">
        <v>177</v>
      </c>
    </row>
    <row r="40" spans="1:16" ht="15.75" customHeight="1">
      <c r="J40" s="22"/>
    </row>
    <row r="41" spans="1:16" ht="15.75" customHeight="1"/>
    <row r="42" spans="1:16" ht="15.75" customHeight="1">
      <c r="A42" s="22" t="s">
        <v>178</v>
      </c>
      <c r="C42" s="22">
        <f>SUBTOTAL(9,C2:C41)</f>
        <v>52</v>
      </c>
      <c r="E42" s="33"/>
    </row>
    <row r="43" spans="1:16" ht="15.75" customHeight="1"/>
    <row r="44" spans="1:16" ht="15.75" customHeight="1">
      <c r="A44" s="47"/>
      <c r="B44" s="22" t="s">
        <v>179</v>
      </c>
    </row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autoFilter ref="A1:P39" xr:uid="{00000000-0001-0000-0000-000000000000}">
    <filterColumn colId="5">
      <filters>
        <filter val="Prod"/>
      </filters>
    </filterColumn>
    <filterColumn colId="10">
      <filters>
        <filter val="Desplegada"/>
        <filter val="Replicado"/>
        <filter val="Replicando - Error de Firewall"/>
      </filters>
    </filterColumn>
  </autoFilter>
  <sortState xmlns:xlrd2="http://schemas.microsoft.com/office/spreadsheetml/2017/richdata2" ref="A2:I39">
    <sortCondition ref="A2:A39"/>
  </sortState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9386-5EBB-4F1C-91A2-6D85FB1D9DE1}">
  <dimension ref="A1:B20"/>
  <sheetViews>
    <sheetView workbookViewId="0">
      <selection activeCell="C15" sqref="C15"/>
    </sheetView>
  </sheetViews>
  <sheetFormatPr defaultRowHeight="15"/>
  <cols>
    <col min="1" max="1" width="25.140625" customWidth="1"/>
    <col min="2" max="2" width="29.5703125" customWidth="1"/>
  </cols>
  <sheetData>
    <row r="1" spans="1:2">
      <c r="A1" s="42" t="s">
        <v>0</v>
      </c>
      <c r="B1" s="42" t="s">
        <v>1</v>
      </c>
    </row>
    <row r="2" spans="1:2">
      <c r="A2" s="43" t="s">
        <v>16</v>
      </c>
      <c r="B2" s="43" t="s">
        <v>17</v>
      </c>
    </row>
    <row r="3" spans="1:2">
      <c r="A3" s="41" t="s">
        <v>111</v>
      </c>
      <c r="B3" s="41" t="s">
        <v>112</v>
      </c>
    </row>
    <row r="4" spans="1:2">
      <c r="A4" s="41" t="s">
        <v>118</v>
      </c>
      <c r="B4" s="41" t="s">
        <v>119</v>
      </c>
    </row>
    <row r="5" spans="1:2">
      <c r="A5" s="41" t="s">
        <v>123</v>
      </c>
      <c r="B5" s="41" t="s">
        <v>124</v>
      </c>
    </row>
    <row r="6" spans="1:2">
      <c r="A6" s="41" t="s">
        <v>126</v>
      </c>
      <c r="B6" s="41" t="s">
        <v>127</v>
      </c>
    </row>
    <row r="7" spans="1:2">
      <c r="A7" s="41" t="s">
        <v>130</v>
      </c>
      <c r="B7" s="41" t="s">
        <v>131</v>
      </c>
    </row>
    <row r="8" spans="1:2">
      <c r="A8" s="41" t="s">
        <v>133</v>
      </c>
      <c r="B8" s="41" t="s">
        <v>134</v>
      </c>
    </row>
    <row r="9" spans="1:2">
      <c r="A9" s="41" t="s">
        <v>137</v>
      </c>
      <c r="B9" s="41" t="s">
        <v>138</v>
      </c>
    </row>
    <row r="10" spans="1:2">
      <c r="A10" s="41" t="s">
        <v>140</v>
      </c>
      <c r="B10" s="41" t="s">
        <v>141</v>
      </c>
    </row>
    <row r="11" spans="1:2">
      <c r="A11" s="41" t="s">
        <v>143</v>
      </c>
      <c r="B11" s="41" t="s">
        <v>144</v>
      </c>
    </row>
    <row r="12" spans="1:2">
      <c r="A12" s="41" t="s">
        <v>146</v>
      </c>
      <c r="B12" s="41" t="s">
        <v>147</v>
      </c>
    </row>
    <row r="13" spans="1:2">
      <c r="A13" s="41" t="s">
        <v>150</v>
      </c>
      <c r="B13" s="41" t="s">
        <v>151</v>
      </c>
    </row>
    <row r="14" spans="1:2">
      <c r="A14" s="41" t="s">
        <v>153</v>
      </c>
      <c r="B14" s="41" t="s">
        <v>154</v>
      </c>
    </row>
    <row r="15" spans="1:2">
      <c r="A15" s="41" t="s">
        <v>156</v>
      </c>
      <c r="B15" s="41" t="s">
        <v>157</v>
      </c>
    </row>
    <row r="16" spans="1:2">
      <c r="A16" s="41" t="s">
        <v>159</v>
      </c>
      <c r="B16" s="41" t="s">
        <v>160</v>
      </c>
    </row>
    <row r="17" spans="1:2">
      <c r="A17" s="41" t="s">
        <v>162</v>
      </c>
      <c r="B17" s="41" t="s">
        <v>163</v>
      </c>
    </row>
    <row r="18" spans="1:2">
      <c r="A18" s="41" t="s">
        <v>168</v>
      </c>
      <c r="B18" s="41" t="s">
        <v>169</v>
      </c>
    </row>
    <row r="19" spans="1:2">
      <c r="A19" s="41" t="s">
        <v>172</v>
      </c>
      <c r="B19" s="41" t="s">
        <v>173</v>
      </c>
    </row>
    <row r="20" spans="1:2">
      <c r="A20" s="41" t="s">
        <v>175</v>
      </c>
      <c r="B20" s="41" t="s">
        <v>176</v>
      </c>
    </row>
  </sheetData>
  <autoFilter ref="A1:C20" xr:uid="{79D69386-5EBB-4F1C-91A2-6D85FB1D9D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O13"/>
  <sheetViews>
    <sheetView workbookViewId="0">
      <selection activeCell="E15" sqref="E15"/>
    </sheetView>
  </sheetViews>
  <sheetFormatPr defaultColWidth="14.42578125" defaultRowHeight="15" customHeight="1"/>
  <cols>
    <col min="1" max="1" width="17.5703125" customWidth="1"/>
    <col min="2" max="2" width="10.28515625" customWidth="1"/>
    <col min="3" max="3" width="17.140625" customWidth="1"/>
    <col min="4" max="4" width="20.5703125" customWidth="1"/>
    <col min="5" max="5" width="14.5703125" customWidth="1"/>
    <col min="6" max="6" width="21.5703125" customWidth="1"/>
    <col min="7" max="7" width="8.28515625" customWidth="1"/>
    <col min="8" max="8" width="18.42578125" customWidth="1"/>
    <col min="9" max="9" width="17.85546875" bestFit="1" customWidth="1"/>
    <col min="10" max="10" width="10.7109375" customWidth="1"/>
    <col min="11" max="11" width="51" customWidth="1"/>
    <col min="12" max="12" width="11.28515625" customWidth="1"/>
    <col min="13" max="13" width="11.5703125" customWidth="1"/>
    <col min="15" max="15" width="17.42578125" customWidth="1"/>
  </cols>
  <sheetData>
    <row r="1" spans="1:15" ht="15.75">
      <c r="A1" s="1" t="s">
        <v>0</v>
      </c>
      <c r="B1" s="1" t="s">
        <v>180</v>
      </c>
      <c r="C1" s="1" t="s">
        <v>181</v>
      </c>
      <c r="D1" s="1" t="s">
        <v>2</v>
      </c>
      <c r="E1" s="1" t="s">
        <v>3</v>
      </c>
      <c r="F1" s="1" t="s">
        <v>4</v>
      </c>
      <c r="G1" s="1" t="s">
        <v>182</v>
      </c>
      <c r="H1" s="1" t="s">
        <v>5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9</v>
      </c>
    </row>
    <row r="2" spans="1:15" ht="103.5" hidden="1" customHeight="1">
      <c r="A2" s="9" t="s">
        <v>189</v>
      </c>
      <c r="B2" s="9" t="s">
        <v>190</v>
      </c>
      <c r="C2" s="11" t="s">
        <v>191</v>
      </c>
      <c r="D2" s="10">
        <v>8</v>
      </c>
      <c r="E2" s="10">
        <v>64</v>
      </c>
      <c r="F2" s="10">
        <v>800</v>
      </c>
      <c r="G2" s="10">
        <v>16000</v>
      </c>
      <c r="H2" s="9" t="s">
        <v>18</v>
      </c>
      <c r="I2" s="11" t="s">
        <v>192</v>
      </c>
      <c r="J2" s="10" t="s">
        <v>193</v>
      </c>
      <c r="K2" s="13" t="s">
        <v>194</v>
      </c>
      <c r="L2" s="19" t="s">
        <v>195</v>
      </c>
      <c r="M2" s="19" t="s">
        <v>196</v>
      </c>
      <c r="N2" s="19" t="s">
        <v>196</v>
      </c>
    </row>
    <row r="3" spans="1:15" ht="93.75" hidden="1" customHeight="1">
      <c r="A3" s="9" t="s">
        <v>197</v>
      </c>
      <c r="B3" s="9" t="s">
        <v>190</v>
      </c>
      <c r="C3" s="11" t="s">
        <v>191</v>
      </c>
      <c r="D3" s="10">
        <v>8</v>
      </c>
      <c r="E3" s="10">
        <v>244</v>
      </c>
      <c r="F3" s="10">
        <v>3200</v>
      </c>
      <c r="G3" s="10">
        <v>16000</v>
      </c>
      <c r="H3" s="9" t="s">
        <v>18</v>
      </c>
      <c r="I3" s="11" t="s">
        <v>192</v>
      </c>
      <c r="J3" s="10" t="s">
        <v>193</v>
      </c>
      <c r="K3" s="13" t="s">
        <v>194</v>
      </c>
      <c r="L3" s="19" t="s">
        <v>195</v>
      </c>
      <c r="M3" s="19" t="s">
        <v>196</v>
      </c>
      <c r="N3" s="19" t="s">
        <v>196</v>
      </c>
    </row>
    <row r="4" spans="1:15" ht="89.25" hidden="1" customHeight="1">
      <c r="A4" s="10" t="s">
        <v>198</v>
      </c>
      <c r="B4" s="10" t="s">
        <v>190</v>
      </c>
      <c r="C4" s="11" t="s">
        <v>191</v>
      </c>
      <c r="D4" s="10">
        <v>8</v>
      </c>
      <c r="E4" s="10">
        <v>64</v>
      </c>
      <c r="F4" s="10">
        <v>800</v>
      </c>
      <c r="G4" s="10">
        <v>16000</v>
      </c>
      <c r="H4" s="9" t="s">
        <v>18</v>
      </c>
      <c r="I4" s="11" t="s">
        <v>192</v>
      </c>
      <c r="J4" s="10" t="s">
        <v>199</v>
      </c>
      <c r="K4" s="13" t="s">
        <v>200</v>
      </c>
      <c r="L4" s="19" t="s">
        <v>196</v>
      </c>
      <c r="M4" s="19" t="s">
        <v>195</v>
      </c>
      <c r="N4" s="19" t="s">
        <v>195</v>
      </c>
    </row>
    <row r="5" spans="1:15" s="12" customFormat="1" ht="88.5" customHeight="1">
      <c r="A5" s="10" t="s">
        <v>201</v>
      </c>
      <c r="B5" s="10" t="s">
        <v>190</v>
      </c>
      <c r="C5" s="11" t="s">
        <v>191</v>
      </c>
      <c r="D5" s="10">
        <v>4</v>
      </c>
      <c r="E5" s="10">
        <v>32</v>
      </c>
      <c r="F5" s="10">
        <v>500</v>
      </c>
      <c r="G5" s="10">
        <v>3000</v>
      </c>
      <c r="H5" s="10" t="s">
        <v>202</v>
      </c>
      <c r="I5" s="11" t="s">
        <v>192</v>
      </c>
      <c r="J5" s="10" t="s">
        <v>199</v>
      </c>
      <c r="K5" s="13" t="s">
        <v>203</v>
      </c>
      <c r="L5" s="19" t="s">
        <v>196</v>
      </c>
      <c r="M5" s="19" t="s">
        <v>195</v>
      </c>
      <c r="N5" s="19" t="s">
        <v>195</v>
      </c>
      <c r="O5" s="12" t="s">
        <v>204</v>
      </c>
    </row>
    <row r="6" spans="1:15" ht="87" customHeight="1">
      <c r="A6" s="10" t="s">
        <v>205</v>
      </c>
      <c r="B6" s="10" t="s">
        <v>190</v>
      </c>
      <c r="C6" s="11" t="s">
        <v>206</v>
      </c>
      <c r="D6" s="10">
        <v>4</v>
      </c>
      <c r="E6" s="10">
        <v>32</v>
      </c>
      <c r="F6" s="10">
        <v>600</v>
      </c>
      <c r="G6" s="10">
        <v>3000</v>
      </c>
      <c r="H6" s="10" t="s">
        <v>202</v>
      </c>
      <c r="I6" s="11" t="s">
        <v>192</v>
      </c>
      <c r="J6" s="10" t="s">
        <v>199</v>
      </c>
      <c r="K6" s="13" t="s">
        <v>203</v>
      </c>
      <c r="L6" s="10" t="s">
        <v>196</v>
      </c>
      <c r="M6" s="10" t="s">
        <v>195</v>
      </c>
      <c r="N6" s="19" t="s">
        <v>195</v>
      </c>
      <c r="O6" s="19" t="s">
        <v>207</v>
      </c>
    </row>
    <row r="7" spans="1:15" ht="87" customHeight="1">
      <c r="A7" s="10" t="s">
        <v>208</v>
      </c>
      <c r="B7" s="10" t="s">
        <v>190</v>
      </c>
      <c r="C7" s="11" t="s">
        <v>209</v>
      </c>
      <c r="D7" s="13">
        <v>2</v>
      </c>
      <c r="E7" s="10">
        <v>32</v>
      </c>
      <c r="F7" s="10">
        <v>2432</v>
      </c>
      <c r="G7" s="10">
        <v>3000</v>
      </c>
      <c r="H7" s="10" t="s">
        <v>210</v>
      </c>
      <c r="I7" s="11" t="s">
        <v>192</v>
      </c>
      <c r="J7" s="10" t="s">
        <v>199</v>
      </c>
      <c r="K7" s="13" t="s">
        <v>203</v>
      </c>
      <c r="L7" s="10" t="s">
        <v>196</v>
      </c>
      <c r="M7" s="10" t="s">
        <v>195</v>
      </c>
      <c r="N7" s="19" t="s">
        <v>195</v>
      </c>
      <c r="O7" s="19" t="s">
        <v>207</v>
      </c>
    </row>
    <row r="8" spans="1:15" hidden="1">
      <c r="D8" s="37">
        <f>SUM(D2:D7)</f>
        <v>34</v>
      </c>
      <c r="E8" s="2"/>
      <c r="F8" s="3"/>
    </row>
    <row r="9" spans="1:15">
      <c r="E9" s="2"/>
      <c r="F9" s="3"/>
    </row>
    <row r="10" spans="1:15">
      <c r="E10" s="2"/>
      <c r="F10" s="3"/>
    </row>
    <row r="11" spans="1:15">
      <c r="E11" s="2"/>
      <c r="F11" s="3"/>
    </row>
    <row r="12" spans="1:15">
      <c r="E12" s="2"/>
      <c r="F12" s="3"/>
    </row>
    <row r="13" spans="1:15">
      <c r="E13" s="2"/>
      <c r="F13" s="3"/>
    </row>
  </sheetData>
  <autoFilter ref="A1:O8" xr:uid="{00000000-0001-0000-0100-000000000000}">
    <filterColumn colId="7">
      <filters>
        <filter val="DEV"/>
        <filter val="TEST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944F-AF5F-475C-86EC-66414E50AF0E}">
  <dimension ref="A1:F12"/>
  <sheetViews>
    <sheetView workbookViewId="0">
      <selection activeCell="F11" sqref="F11"/>
    </sheetView>
  </sheetViews>
  <sheetFormatPr defaultColWidth="11.42578125" defaultRowHeight="15"/>
  <cols>
    <col min="1" max="1" width="28.85546875" customWidth="1"/>
    <col min="2" max="2" width="11.7109375" customWidth="1"/>
    <col min="5" max="5" width="29.140625" customWidth="1"/>
    <col min="6" max="6" width="79.85546875" bestFit="1" customWidth="1"/>
  </cols>
  <sheetData>
    <row r="1" spans="1:6" ht="15.7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</row>
    <row r="2" spans="1:6" ht="34.5">
      <c r="A2" s="14" t="s">
        <v>217</v>
      </c>
      <c r="B2" s="14">
        <v>22902</v>
      </c>
      <c r="C2" s="14" t="s">
        <v>218</v>
      </c>
      <c r="D2" s="14" t="s">
        <v>219</v>
      </c>
      <c r="E2" s="14" t="s">
        <v>220</v>
      </c>
      <c r="F2" s="14" t="s">
        <v>24</v>
      </c>
    </row>
    <row r="3" spans="1:6" ht="29.25">
      <c r="A3" s="14" t="s">
        <v>221</v>
      </c>
      <c r="B3" s="14">
        <v>22298</v>
      </c>
      <c r="C3" s="14" t="s">
        <v>218</v>
      </c>
      <c r="D3" s="14" t="s">
        <v>222</v>
      </c>
      <c r="E3" s="14" t="s">
        <v>220</v>
      </c>
      <c r="F3" s="54" t="s">
        <v>223</v>
      </c>
    </row>
    <row r="4" spans="1:6" ht="34.5">
      <c r="A4" s="14" t="s">
        <v>224</v>
      </c>
      <c r="B4" s="14">
        <v>25064</v>
      </c>
      <c r="C4" s="14" t="s">
        <v>218</v>
      </c>
      <c r="D4" s="14" t="s">
        <v>225</v>
      </c>
      <c r="E4" s="14" t="s">
        <v>220</v>
      </c>
      <c r="F4" s="15" t="s">
        <v>226</v>
      </c>
    </row>
    <row r="5" spans="1:6" ht="29.25">
      <c r="A5" s="55" t="s">
        <v>227</v>
      </c>
      <c r="B5" s="55">
        <v>22293</v>
      </c>
      <c r="C5" s="55" t="s">
        <v>218</v>
      </c>
      <c r="D5" s="55" t="s">
        <v>222</v>
      </c>
      <c r="E5" s="55" t="s">
        <v>220</v>
      </c>
      <c r="F5" s="56" t="s">
        <v>228</v>
      </c>
    </row>
    <row r="6" spans="1:6" ht="29.25">
      <c r="A6" s="14" t="s">
        <v>229</v>
      </c>
      <c r="B6" s="14">
        <v>22370</v>
      </c>
      <c r="C6" s="14" t="s">
        <v>218</v>
      </c>
      <c r="D6" s="14" t="s">
        <v>219</v>
      </c>
      <c r="E6" s="14" t="s">
        <v>220</v>
      </c>
      <c r="F6" s="57" t="s">
        <v>230</v>
      </c>
    </row>
    <row r="7" spans="1:6" ht="29.25">
      <c r="A7" s="14" t="s">
        <v>231</v>
      </c>
      <c r="B7" s="14">
        <v>22378</v>
      </c>
      <c r="C7" s="14" t="s">
        <v>218</v>
      </c>
      <c r="D7" s="14" t="s">
        <v>222</v>
      </c>
      <c r="E7" s="14" t="s">
        <v>220</v>
      </c>
      <c r="F7" s="58" t="s">
        <v>232</v>
      </c>
    </row>
    <row r="8" spans="1:6" ht="29.25">
      <c r="A8" s="14" t="s">
        <v>233</v>
      </c>
      <c r="B8" s="14">
        <v>22272</v>
      </c>
      <c r="C8" s="14" t="s">
        <v>218</v>
      </c>
      <c r="D8" s="14" t="s">
        <v>222</v>
      </c>
      <c r="E8" s="14" t="s">
        <v>220</v>
      </c>
      <c r="F8" s="54" t="s">
        <v>234</v>
      </c>
    </row>
    <row r="9" spans="1:6" ht="34.5">
      <c r="A9" s="14" t="s">
        <v>235</v>
      </c>
      <c r="B9" s="14">
        <v>24910</v>
      </c>
      <c r="C9" s="14" t="s">
        <v>218</v>
      </c>
      <c r="D9" s="14" t="s">
        <v>222</v>
      </c>
      <c r="E9" s="14" t="s">
        <v>220</v>
      </c>
      <c r="F9" s="15" t="s">
        <v>236</v>
      </c>
    </row>
    <row r="10" spans="1:6" ht="34.5">
      <c r="A10" s="14" t="s">
        <v>237</v>
      </c>
      <c r="B10" s="14">
        <v>23388</v>
      </c>
      <c r="C10" s="14" t="s">
        <v>218</v>
      </c>
      <c r="D10" s="14" t="s">
        <v>222</v>
      </c>
      <c r="E10" s="14" t="s">
        <v>238</v>
      </c>
      <c r="F10" s="15" t="s">
        <v>239</v>
      </c>
    </row>
    <row r="11" spans="1:6" ht="29.25">
      <c r="A11" s="14" t="s">
        <v>240</v>
      </c>
      <c r="B11" s="14">
        <v>22289</v>
      </c>
      <c r="C11" s="14" t="s">
        <v>218</v>
      </c>
      <c r="D11" s="14" t="s">
        <v>222</v>
      </c>
      <c r="E11" s="14" t="s">
        <v>220</v>
      </c>
      <c r="F11" s="54" t="s">
        <v>241</v>
      </c>
    </row>
    <row r="12" spans="1:6" ht="29.25">
      <c r="A12" s="14" t="s">
        <v>242</v>
      </c>
      <c r="B12" s="14">
        <v>22282</v>
      </c>
      <c r="C12" s="14" t="s">
        <v>218</v>
      </c>
      <c r="D12" s="14" t="s">
        <v>222</v>
      </c>
      <c r="E12" s="14" t="s">
        <v>220</v>
      </c>
      <c r="F12" s="54" t="s">
        <v>243</v>
      </c>
    </row>
  </sheetData>
  <autoFilter ref="A1:F12" xr:uid="{9136944F-AF5F-475C-86EC-66414E50AF0E}"/>
  <hyperlinks>
    <hyperlink ref="F3" r:id="rId1" xr:uid="{C94D6F44-CC8A-4441-903A-B4356FD4B0EF}"/>
    <hyperlink ref="F5" r:id="rId2" xr:uid="{AE580FEF-0A7E-499E-ADE1-13DA2FD3A259}"/>
    <hyperlink ref="F6" r:id="rId3" xr:uid="{BFDF7B5A-E8A2-4F79-9013-15BB7494F907}"/>
    <hyperlink ref="F7" r:id="rId4" xr:uid="{40D7DE56-1C18-4125-B463-0CE607853B77}"/>
    <hyperlink ref="F8" r:id="rId5" xr:uid="{58AFD220-84B0-4079-B7F1-7C9B3C342DD5}"/>
    <hyperlink ref="F9" r:id="rId6" xr:uid="{9EF858CB-19BE-4C6D-9AB7-85B9105CEF17}"/>
    <hyperlink ref="F10" r:id="rId7" display="https://securetransport.intelidat.com/" xr:uid="{2A0CBFE4-9194-4331-A965-D0FA6ADA2CE7}"/>
    <hyperlink ref="F11" r:id="rId8" xr:uid="{CCA2C52D-A689-4DF7-A02C-40243AB723AB}"/>
    <hyperlink ref="F12" r:id="rId9" xr:uid="{02D0ED09-DF2F-4492-8AAA-B811216A60F1}"/>
    <hyperlink ref="F4" r:id="rId10" xr:uid="{D35CE29F-CBD8-45D9-94C7-69D03959E0D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584A-97B5-489C-80F4-0B9B17AC071C}">
  <dimension ref="A1:A37"/>
  <sheetViews>
    <sheetView workbookViewId="0">
      <selection sqref="A1:A37"/>
    </sheetView>
  </sheetViews>
  <sheetFormatPr defaultColWidth="11.42578125" defaultRowHeight="15"/>
  <cols>
    <col min="1" max="1" width="79" customWidth="1"/>
  </cols>
  <sheetData>
    <row r="1" spans="1:1">
      <c r="A1" s="4" t="s">
        <v>244</v>
      </c>
    </row>
    <row r="3" spans="1:1">
      <c r="A3" s="5" t="s">
        <v>245</v>
      </c>
    </row>
    <row r="5" spans="1:1">
      <c r="A5" s="5" t="s">
        <v>246</v>
      </c>
    </row>
    <row r="7" spans="1:1">
      <c r="A7" s="5" t="s">
        <v>247</v>
      </c>
    </row>
    <row r="9" spans="1:1">
      <c r="A9" s="5" t="s">
        <v>248</v>
      </c>
    </row>
    <row r="11" spans="1:1">
      <c r="A11" s="5" t="s">
        <v>249</v>
      </c>
    </row>
    <row r="13" spans="1:1">
      <c r="A13" s="5" t="s">
        <v>250</v>
      </c>
    </row>
    <row r="15" spans="1:1">
      <c r="A15" s="5" t="s">
        <v>251</v>
      </c>
    </row>
    <row r="17" spans="1:1">
      <c r="A17" s="5" t="s">
        <v>252</v>
      </c>
    </row>
    <row r="19" spans="1:1">
      <c r="A19" s="5" t="s">
        <v>253</v>
      </c>
    </row>
    <row r="21" spans="1:1">
      <c r="A21" s="5" t="s">
        <v>254</v>
      </c>
    </row>
    <row r="23" spans="1:1">
      <c r="A23" s="5" t="s">
        <v>255</v>
      </c>
    </row>
    <row r="25" spans="1:1">
      <c r="A25" s="5" t="s">
        <v>256</v>
      </c>
    </row>
    <row r="27" spans="1:1">
      <c r="A27" s="5" t="s">
        <v>257</v>
      </c>
    </row>
    <row r="29" spans="1:1">
      <c r="A29" s="5" t="s">
        <v>258</v>
      </c>
    </row>
    <row r="31" spans="1:1">
      <c r="A31" s="5" t="s">
        <v>259</v>
      </c>
    </row>
    <row r="33" spans="1:1">
      <c r="A33" s="5" t="s">
        <v>260</v>
      </c>
    </row>
    <row r="35" spans="1:1">
      <c r="A35" s="5" t="s">
        <v>261</v>
      </c>
    </row>
    <row r="37" spans="1:1">
      <c r="A37" s="5" t="s">
        <v>262</v>
      </c>
    </row>
  </sheetData>
  <hyperlinks>
    <hyperlink ref="A3" r:id="rId1" display="https://experian.service-now.com/u_cmdb_ci_appliance_server.do?sys_id=ed72e21547e7b194d4510f6c716d43bb&amp;sysparm_view=apm_services" xr:uid="{A7A88B58-C147-4B8C-9763-2553FCE06C9D}"/>
    <hyperlink ref="A5" r:id="rId2" display="https://experian.service-now.com/u_cmdb_ci_appliance_server.do?sys_id=dabc1f9147233594d4510f6c716d4312&amp;sysparm_view=apm_services" xr:uid="{453210FD-23CF-4892-92D2-724B00346B57}"/>
    <hyperlink ref="A7" r:id="rId3" display="https://experian.service-now.com/u_cmdb_ci_appliance_server.do?sys_id=36f1e435476fb994d4510f6c716d43bf&amp;sysparm_view=apm_services" xr:uid="{745D1075-55E2-4BD5-A07A-C7E9C50D6C92}"/>
    <hyperlink ref="A9" r:id="rId4" display="https://experian.service-now.com/cmdb_ci_endpoint_http.do?sys_id=7fba4820932d3e50a92d309febba1023&amp;sysparm_view=apm_services" xr:uid="{2EB2DB1F-8E4E-40B5-9BD9-A921BAF64E34}"/>
    <hyperlink ref="A11" r:id="rId5" display="https://experian.service-now.com/cmdb_ci_win_server.do?sys_id=04f885cf83d18a941e6feb80ceaad3b6&amp;sysparm_view=apm_services" xr:uid="{A5ECD4A6-E835-4C00-9855-CEE4B4B5C0C6}"/>
    <hyperlink ref="A13" r:id="rId6" display="https://experian.service-now.com/cmdb_ci_win_server.do?sys_id=1c5a010b83158a941e6feb80ceaad366&amp;sysparm_view=apm_services" xr:uid="{E5FEDEAF-AB8A-4A16-AF23-AFBD325D2E02}"/>
    <hyperlink ref="A15" r:id="rId7" display="https://experian.service-now.com/cmdb_ci_win_server.do?sys_id=245b3c73937639dcb5b63a7febba10b9&amp;sysparm_view=apm_services" xr:uid="{2BA90B1D-7374-41DB-A248-26C95C8BEEA6}"/>
    <hyperlink ref="A17" r:id="rId8" display="https://experian.service-now.com/cmdb_ci_win_server.do?sys_id=e6a00173933a39dcb5b63a7febba1068&amp;sysparm_view=apm_services" xr:uid="{60CBB49F-9FD5-4485-97B0-3288006D16A1}"/>
    <hyperlink ref="A19" r:id="rId9" display="https://experian.service-now.com/cmdb_ci_win_server.do?sys_id=5615cd0783918a941e6feb80ceaad3fe&amp;sysparm_view=apm_services" xr:uid="{A9454458-ABA4-4ACF-8425-6EC171C2C9C3}"/>
    <hyperlink ref="A21" r:id="rId10" display="https://experian.service-now.com/cmdb_ci_win_server.do?sys_id=c717c18783d18a941e6feb80ceaad32d&amp;sysparm_view=apm_services" xr:uid="{86F628C9-59E6-4021-B4FA-1079DF23DE14}"/>
    <hyperlink ref="A23" r:id="rId11" display="https://experian.service-now.com/cmdb_ci_win_server.do?sys_id=2d46e8fb937af5dcb5b63a7febba10e0&amp;sysparm_view=apm_services" xr:uid="{D724252A-6620-443C-A02C-1142144F8D9D}"/>
    <hyperlink ref="A25" r:id="rId12" display="https://experian.service-now.com/cmdb_ci_win_server.do?sys_id=bac4343b937239dcb5b63a7febba10f8&amp;sysparm_view=apm_services" xr:uid="{11C1C30B-96E9-4A79-AC96-8B30C2666983}"/>
    <hyperlink ref="A27" r:id="rId13" display="https://experian.service-now.com/u_cmdb_ci_appliance_server.do?sys_id=43e1628a93507290081d71ffebba106d&amp;sysparm_view=apm_services" xr:uid="{F6C9B822-D228-42E2-8160-15AB09912D17}"/>
    <hyperlink ref="A29" r:id="rId14" display="https://experian.service-now.com/u_cmdb_ci_appliance_server.do?sys_id=4d3b228a93547290081d71ffebba10ac&amp;sysparm_view=apm_services" xr:uid="{6B6718E3-17FA-4FFB-A7F0-8CCBF562D6BB}"/>
    <hyperlink ref="A31" r:id="rId15" display="https://experian.service-now.com/cmdb_ci_datacenter.do?sys_id=214eaa9347632e90e29d8155516d43ab&amp;sysparm_view=apm_services" xr:uid="{AB34BB92-F7BD-4848-8ADA-2606C78128FD}"/>
    <hyperlink ref="A33" r:id="rId16" display="https://experian.service-now.com/cmdb_ci_datacenter.do?sys_id=ddd9eb8f83f6e210b8506a70deaad37f&amp;sysparm_view=apm_services" xr:uid="{739D0825-D3F5-4C06-8B24-53D87785703F}"/>
    <hyperlink ref="A35" r:id="rId17" display="https://experian.service-now.com/u_cmdb_ci_appliance_server.do?sys_id=0223591a939be654b5b63a7febba10e2&amp;sysparm_view=apm_services" xr:uid="{266321D5-D2BF-44FB-98F2-39FFAEDE27C2}"/>
    <hyperlink ref="A37" r:id="rId18" display="https://experian.service-now.com/u_cmdb_ci_appliance_server.do?sys_id=d6519d56935be654b5b63a7febba10ee&amp;sysparm_view=apm_services" xr:uid="{874FDDBE-387A-4FA3-9D54-6E4E78191A08}"/>
  </hyperlinks>
  <pageMargins left="0.7" right="0.7" top="0.75" bottom="0.75" header="0.3" footer="0.3"/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A9BA-73F9-4A3C-AE27-AC8C8D84BAA0}">
  <dimension ref="A1:G133"/>
  <sheetViews>
    <sheetView workbookViewId="0">
      <selection activeCell="B48" sqref="B48"/>
    </sheetView>
  </sheetViews>
  <sheetFormatPr defaultColWidth="10.85546875" defaultRowHeight="15"/>
  <cols>
    <col min="1" max="1" width="24.5703125" style="7" customWidth="1"/>
    <col min="2" max="2" width="44.42578125" style="7" bestFit="1" customWidth="1"/>
    <col min="3" max="3" width="16.28515625" style="7" customWidth="1"/>
    <col min="4" max="5" width="10.85546875" style="7"/>
    <col min="6" max="6" width="14.85546875" style="7" bestFit="1" customWidth="1"/>
    <col min="7" max="7" width="12" style="7" bestFit="1" customWidth="1"/>
    <col min="8" max="16384" width="10.85546875" style="7"/>
  </cols>
  <sheetData>
    <row r="1" spans="1:7">
      <c r="A1" s="6" t="s">
        <v>263</v>
      </c>
      <c r="B1" s="6" t="s">
        <v>264</v>
      </c>
      <c r="C1" s="6" t="s">
        <v>1</v>
      </c>
      <c r="D1" s="6" t="s">
        <v>265</v>
      </c>
      <c r="E1" s="6" t="s">
        <v>266</v>
      </c>
      <c r="F1" s="6" t="s">
        <v>267</v>
      </c>
      <c r="G1" s="6" t="s">
        <v>268</v>
      </c>
    </row>
    <row r="2" spans="1:7">
      <c r="A2" s="7" t="s">
        <v>269</v>
      </c>
      <c r="B2" s="20" t="s">
        <v>270</v>
      </c>
      <c r="C2" s="7" t="s">
        <v>271</v>
      </c>
      <c r="E2" s="7">
        <v>61099</v>
      </c>
      <c r="F2" s="7" t="s">
        <v>272</v>
      </c>
      <c r="G2" s="7" t="s">
        <v>273</v>
      </c>
    </row>
    <row r="3" spans="1:7">
      <c r="A3" s="7" t="s">
        <v>274</v>
      </c>
      <c r="B3" s="7" t="s">
        <v>270</v>
      </c>
      <c r="C3" s="7" t="s">
        <v>271</v>
      </c>
      <c r="E3" s="7">
        <v>61099</v>
      </c>
      <c r="F3" s="7" t="s">
        <v>272</v>
      </c>
      <c r="G3" s="7" t="s">
        <v>273</v>
      </c>
    </row>
    <row r="4" spans="1:7">
      <c r="A4" s="7" t="s">
        <v>275</v>
      </c>
      <c r="B4" s="7" t="s">
        <v>270</v>
      </c>
      <c r="C4" s="7" t="s">
        <v>271</v>
      </c>
      <c r="E4" s="7">
        <v>61099</v>
      </c>
      <c r="F4" s="7" t="s">
        <v>272</v>
      </c>
      <c r="G4" s="7" t="s">
        <v>273</v>
      </c>
    </row>
    <row r="5" spans="1:7">
      <c r="A5" s="7" t="s">
        <v>276</v>
      </c>
      <c r="B5" s="7" t="s">
        <v>277</v>
      </c>
      <c r="C5" s="7" t="s">
        <v>278</v>
      </c>
      <c r="E5" s="7">
        <v>1433</v>
      </c>
      <c r="F5" s="7" t="s">
        <v>272</v>
      </c>
      <c r="G5" s="7" t="s">
        <v>273</v>
      </c>
    </row>
    <row r="6" spans="1:7">
      <c r="A6" s="7" t="s">
        <v>279</v>
      </c>
      <c r="B6" s="7" t="s">
        <v>270</v>
      </c>
      <c r="C6" s="7" t="s">
        <v>271</v>
      </c>
      <c r="E6" s="7">
        <v>61099</v>
      </c>
      <c r="F6" s="7" t="s">
        <v>272</v>
      </c>
      <c r="G6" s="7" t="s">
        <v>273</v>
      </c>
    </row>
    <row r="7" spans="1:7">
      <c r="A7" s="7" t="s">
        <v>280</v>
      </c>
      <c r="B7" s="7" t="s">
        <v>277</v>
      </c>
      <c r="C7" s="7" t="s">
        <v>278</v>
      </c>
      <c r="E7" s="7">
        <v>61099</v>
      </c>
      <c r="F7" s="7" t="s">
        <v>272</v>
      </c>
      <c r="G7" s="7" t="s">
        <v>273</v>
      </c>
    </row>
    <row r="8" spans="1:7">
      <c r="A8" s="7" t="s">
        <v>281</v>
      </c>
      <c r="B8" s="7" t="s">
        <v>270</v>
      </c>
      <c r="C8" s="7" t="s">
        <v>271</v>
      </c>
      <c r="E8" s="7">
        <v>61099</v>
      </c>
      <c r="F8" s="7" t="s">
        <v>272</v>
      </c>
      <c r="G8" s="7" t="s">
        <v>273</v>
      </c>
    </row>
    <row r="9" spans="1:7">
      <c r="A9" s="7" t="s">
        <v>282</v>
      </c>
      <c r="B9" s="7" t="s">
        <v>270</v>
      </c>
      <c r="C9" s="7" t="s">
        <v>271</v>
      </c>
      <c r="E9" s="7">
        <v>61099</v>
      </c>
      <c r="F9" s="7" t="s">
        <v>272</v>
      </c>
      <c r="G9" s="7" t="s">
        <v>273</v>
      </c>
    </row>
    <row r="10" spans="1:7">
      <c r="A10" s="7" t="s">
        <v>283</v>
      </c>
      <c r="B10" s="7" t="s">
        <v>270</v>
      </c>
      <c r="C10" s="7" t="s">
        <v>271</v>
      </c>
      <c r="E10" s="7">
        <v>61099</v>
      </c>
      <c r="F10" s="7" t="s">
        <v>272</v>
      </c>
      <c r="G10" s="7" t="s">
        <v>273</v>
      </c>
    </row>
    <row r="11" spans="1:7">
      <c r="A11" s="7" t="s">
        <v>284</v>
      </c>
      <c r="B11" s="7" t="s">
        <v>270</v>
      </c>
      <c r="C11" s="7" t="s">
        <v>271</v>
      </c>
      <c r="E11" s="7">
        <v>61099</v>
      </c>
      <c r="F11" s="7" t="s">
        <v>272</v>
      </c>
      <c r="G11" s="7" t="s">
        <v>273</v>
      </c>
    </row>
    <row r="12" spans="1:7">
      <c r="A12" s="7" t="s">
        <v>285</v>
      </c>
      <c r="B12" s="7" t="s">
        <v>270</v>
      </c>
      <c r="C12" s="7" t="s">
        <v>271</v>
      </c>
      <c r="E12" s="7">
        <v>61099</v>
      </c>
      <c r="F12" s="7" t="s">
        <v>272</v>
      </c>
      <c r="G12" s="7" t="s">
        <v>273</v>
      </c>
    </row>
    <row r="13" spans="1:7">
      <c r="A13" s="7" t="s">
        <v>286</v>
      </c>
      <c r="B13" s="7" t="s">
        <v>270</v>
      </c>
      <c r="C13" s="7" t="s">
        <v>271</v>
      </c>
      <c r="E13" s="7">
        <v>61099</v>
      </c>
      <c r="F13" s="7" t="s">
        <v>272</v>
      </c>
      <c r="G13" s="7" t="s">
        <v>273</v>
      </c>
    </row>
    <row r="14" spans="1:7">
      <c r="A14" s="7" t="s">
        <v>287</v>
      </c>
      <c r="B14" s="7" t="s">
        <v>270</v>
      </c>
      <c r="C14" s="7" t="s">
        <v>271</v>
      </c>
      <c r="E14" s="7">
        <v>61099</v>
      </c>
      <c r="F14" s="7" t="s">
        <v>272</v>
      </c>
      <c r="G14" s="7" t="s">
        <v>273</v>
      </c>
    </row>
    <row r="15" spans="1:7">
      <c r="A15" s="7" t="s">
        <v>269</v>
      </c>
      <c r="B15" s="7" t="s">
        <v>288</v>
      </c>
      <c r="C15" s="7" t="s">
        <v>289</v>
      </c>
      <c r="E15" s="7">
        <v>1433</v>
      </c>
      <c r="F15" s="7" t="s">
        <v>272</v>
      </c>
      <c r="G15" s="7" t="s">
        <v>290</v>
      </c>
    </row>
    <row r="16" spans="1:7">
      <c r="A16" s="7" t="s">
        <v>291</v>
      </c>
      <c r="B16" s="7" t="s">
        <v>288</v>
      </c>
      <c r="C16" s="7" t="s">
        <v>289</v>
      </c>
      <c r="E16" s="7">
        <v>1433</v>
      </c>
      <c r="F16" s="7" t="s">
        <v>272</v>
      </c>
      <c r="G16" s="7" t="s">
        <v>290</v>
      </c>
    </row>
    <row r="17" spans="1:7">
      <c r="A17" s="7" t="s">
        <v>276</v>
      </c>
      <c r="B17" s="7" t="s">
        <v>288</v>
      </c>
      <c r="C17" s="7" t="s">
        <v>289</v>
      </c>
      <c r="E17" s="7">
        <v>1433</v>
      </c>
      <c r="F17" s="7" t="s">
        <v>272</v>
      </c>
      <c r="G17" s="7" t="s">
        <v>290</v>
      </c>
    </row>
    <row r="18" spans="1:7">
      <c r="A18" s="7" t="s">
        <v>280</v>
      </c>
      <c r="B18" s="7" t="s">
        <v>288</v>
      </c>
      <c r="C18" s="7" t="s">
        <v>289</v>
      </c>
      <c r="E18" s="7">
        <v>1433</v>
      </c>
      <c r="F18" s="7" t="s">
        <v>272</v>
      </c>
      <c r="G18" s="7" t="s">
        <v>290</v>
      </c>
    </row>
    <row r="19" spans="1:7">
      <c r="A19" s="7" t="s">
        <v>274</v>
      </c>
      <c r="B19" s="7" t="s">
        <v>288</v>
      </c>
      <c r="C19" s="7" t="s">
        <v>289</v>
      </c>
      <c r="E19" s="7">
        <v>1433</v>
      </c>
      <c r="F19" s="7" t="s">
        <v>272</v>
      </c>
      <c r="G19" s="7" t="s">
        <v>290</v>
      </c>
    </row>
    <row r="20" spans="1:7">
      <c r="A20" s="7" t="s">
        <v>282</v>
      </c>
      <c r="B20" s="7" t="s">
        <v>288</v>
      </c>
      <c r="C20" s="7" t="s">
        <v>289</v>
      </c>
      <c r="E20" s="7">
        <v>1433</v>
      </c>
      <c r="F20" s="7" t="s">
        <v>272</v>
      </c>
      <c r="G20" s="7" t="s">
        <v>290</v>
      </c>
    </row>
    <row r="21" spans="1:7">
      <c r="A21" s="7" t="s">
        <v>292</v>
      </c>
      <c r="B21" s="7" t="s">
        <v>288</v>
      </c>
      <c r="C21" s="7" t="s">
        <v>289</v>
      </c>
      <c r="E21" s="7">
        <v>1433</v>
      </c>
      <c r="F21" s="7" t="s">
        <v>272</v>
      </c>
      <c r="G21" s="7" t="s">
        <v>290</v>
      </c>
    </row>
    <row r="22" spans="1:7">
      <c r="A22" s="7" t="s">
        <v>293</v>
      </c>
      <c r="B22" s="7" t="s">
        <v>288</v>
      </c>
      <c r="C22" s="7" t="s">
        <v>289</v>
      </c>
      <c r="E22" s="7">
        <v>1433</v>
      </c>
      <c r="F22" s="7" t="s">
        <v>272</v>
      </c>
      <c r="G22" s="7" t="s">
        <v>290</v>
      </c>
    </row>
    <row r="23" spans="1:7">
      <c r="A23" s="7" t="s">
        <v>285</v>
      </c>
      <c r="B23" s="7" t="s">
        <v>288</v>
      </c>
      <c r="C23" s="7" t="s">
        <v>289</v>
      </c>
      <c r="E23" s="7">
        <v>1433</v>
      </c>
      <c r="F23" s="7" t="s">
        <v>272</v>
      </c>
      <c r="G23" s="7" t="s">
        <v>290</v>
      </c>
    </row>
    <row r="24" spans="1:7">
      <c r="A24" s="7" t="s">
        <v>283</v>
      </c>
      <c r="B24" s="7" t="s">
        <v>288</v>
      </c>
      <c r="C24" s="7" t="s">
        <v>289</v>
      </c>
      <c r="E24" s="7">
        <v>1433</v>
      </c>
      <c r="F24" s="7" t="s">
        <v>272</v>
      </c>
      <c r="G24" s="7" t="s">
        <v>290</v>
      </c>
    </row>
    <row r="25" spans="1:7">
      <c r="A25" s="7" t="s">
        <v>294</v>
      </c>
      <c r="B25" s="7" t="s">
        <v>288</v>
      </c>
      <c r="C25" s="7" t="s">
        <v>289</v>
      </c>
      <c r="E25" s="7">
        <v>1433</v>
      </c>
      <c r="F25" s="7" t="s">
        <v>272</v>
      </c>
      <c r="G25" s="7" t="s">
        <v>290</v>
      </c>
    </row>
    <row r="26" spans="1:7">
      <c r="A26" s="7" t="s">
        <v>295</v>
      </c>
      <c r="B26" s="7" t="s">
        <v>288</v>
      </c>
      <c r="C26" s="7" t="s">
        <v>289</v>
      </c>
      <c r="E26" s="7">
        <v>1433</v>
      </c>
      <c r="F26" s="7" t="s">
        <v>272</v>
      </c>
      <c r="G26" s="7" t="s">
        <v>290</v>
      </c>
    </row>
    <row r="27" spans="1:7">
      <c r="A27" s="7" t="s">
        <v>296</v>
      </c>
      <c r="B27" s="7" t="s">
        <v>288</v>
      </c>
      <c r="C27" s="7" t="s">
        <v>289</v>
      </c>
      <c r="E27" s="7">
        <v>1433</v>
      </c>
      <c r="F27" s="7" t="s">
        <v>272</v>
      </c>
      <c r="G27" s="7" t="s">
        <v>290</v>
      </c>
    </row>
    <row r="28" spans="1:7">
      <c r="A28" s="7" t="s">
        <v>297</v>
      </c>
      <c r="B28" s="7" t="s">
        <v>288</v>
      </c>
      <c r="C28" s="7" t="s">
        <v>289</v>
      </c>
      <c r="E28" s="7">
        <v>1433</v>
      </c>
      <c r="F28" s="7" t="s">
        <v>272</v>
      </c>
      <c r="G28" s="7" t="s">
        <v>290</v>
      </c>
    </row>
    <row r="29" spans="1:7">
      <c r="A29" s="7" t="s">
        <v>298</v>
      </c>
      <c r="B29" s="7" t="s">
        <v>288</v>
      </c>
      <c r="C29" s="7" t="s">
        <v>289</v>
      </c>
      <c r="E29" s="7">
        <v>1433</v>
      </c>
      <c r="F29" s="7" t="s">
        <v>272</v>
      </c>
      <c r="G29" s="7" t="s">
        <v>290</v>
      </c>
    </row>
    <row r="30" spans="1:7">
      <c r="A30" s="7" t="s">
        <v>242</v>
      </c>
      <c r="B30" s="7" t="s">
        <v>288</v>
      </c>
      <c r="C30" s="7" t="s">
        <v>289</v>
      </c>
      <c r="E30" s="7">
        <v>1433</v>
      </c>
      <c r="F30" s="7" t="s">
        <v>272</v>
      </c>
      <c r="G30" s="7" t="s">
        <v>290</v>
      </c>
    </row>
    <row r="31" spans="1:7">
      <c r="A31" s="7" t="s">
        <v>299</v>
      </c>
      <c r="B31" s="7" t="s">
        <v>288</v>
      </c>
      <c r="C31" s="7" t="s">
        <v>289</v>
      </c>
      <c r="E31" s="7">
        <v>1433</v>
      </c>
      <c r="F31" s="7" t="s">
        <v>272</v>
      </c>
      <c r="G31" s="7" t="s">
        <v>290</v>
      </c>
    </row>
    <row r="32" spans="1:7">
      <c r="A32" s="7" t="s">
        <v>300</v>
      </c>
      <c r="B32" s="7" t="s">
        <v>288</v>
      </c>
      <c r="C32" s="7" t="s">
        <v>289</v>
      </c>
      <c r="E32" s="7">
        <v>1433</v>
      </c>
      <c r="F32" s="7" t="s">
        <v>272</v>
      </c>
      <c r="G32" s="7" t="s">
        <v>290</v>
      </c>
    </row>
    <row r="33" spans="1:7">
      <c r="A33" s="7" t="s">
        <v>301</v>
      </c>
      <c r="B33" s="7" t="s">
        <v>288</v>
      </c>
      <c r="C33" s="7" t="s">
        <v>289</v>
      </c>
      <c r="E33" s="7">
        <v>1433</v>
      </c>
      <c r="F33" s="7" t="s">
        <v>272</v>
      </c>
      <c r="G33" s="7" t="s">
        <v>290</v>
      </c>
    </row>
    <row r="34" spans="1:7">
      <c r="A34" s="7" t="s">
        <v>302</v>
      </c>
      <c r="B34" s="7" t="s">
        <v>288</v>
      </c>
      <c r="C34" s="7" t="s">
        <v>289</v>
      </c>
      <c r="E34" s="7">
        <v>1433</v>
      </c>
      <c r="F34" s="7" t="s">
        <v>272</v>
      </c>
      <c r="G34" s="7" t="s">
        <v>290</v>
      </c>
    </row>
    <row r="35" spans="1:7">
      <c r="A35" s="7" t="s">
        <v>303</v>
      </c>
      <c r="B35" s="7" t="s">
        <v>288</v>
      </c>
      <c r="C35" s="7" t="s">
        <v>289</v>
      </c>
      <c r="E35" s="7">
        <v>1433</v>
      </c>
      <c r="F35" s="7" t="s">
        <v>272</v>
      </c>
      <c r="G35" s="7" t="s">
        <v>290</v>
      </c>
    </row>
    <row r="36" spans="1:7">
      <c r="A36" s="7" t="s">
        <v>304</v>
      </c>
      <c r="B36" s="7" t="s">
        <v>288</v>
      </c>
      <c r="C36" s="7" t="s">
        <v>289</v>
      </c>
      <c r="E36" s="7">
        <v>1433</v>
      </c>
      <c r="F36" s="7" t="s">
        <v>272</v>
      </c>
      <c r="G36" s="7" t="s">
        <v>290</v>
      </c>
    </row>
    <row r="37" spans="1:7">
      <c r="A37" s="7" t="s">
        <v>305</v>
      </c>
      <c r="B37" s="7" t="s">
        <v>288</v>
      </c>
      <c r="C37" s="7" t="s">
        <v>289</v>
      </c>
      <c r="E37" s="7">
        <v>1433</v>
      </c>
      <c r="F37" s="7" t="s">
        <v>272</v>
      </c>
      <c r="G37" s="7" t="s">
        <v>290</v>
      </c>
    </row>
    <row r="38" spans="1:7">
      <c r="A38" s="7" t="s">
        <v>306</v>
      </c>
      <c r="B38" s="7" t="s">
        <v>288</v>
      </c>
      <c r="C38" s="7" t="s">
        <v>289</v>
      </c>
      <c r="E38" s="7">
        <v>1433</v>
      </c>
      <c r="F38" s="7" t="s">
        <v>272</v>
      </c>
      <c r="G38" s="7" t="s">
        <v>290</v>
      </c>
    </row>
    <row r="39" spans="1:7">
      <c r="A39" s="7" t="s">
        <v>307</v>
      </c>
      <c r="B39" s="7" t="s">
        <v>288</v>
      </c>
      <c r="C39" s="7" t="s">
        <v>289</v>
      </c>
      <c r="E39" s="7">
        <v>1433</v>
      </c>
      <c r="F39" s="7" t="s">
        <v>272</v>
      </c>
      <c r="G39" s="7" t="s">
        <v>290</v>
      </c>
    </row>
    <row r="40" spans="1:7">
      <c r="A40" s="7" t="s">
        <v>308</v>
      </c>
      <c r="B40" s="7" t="s">
        <v>288</v>
      </c>
      <c r="C40" s="7" t="s">
        <v>289</v>
      </c>
      <c r="E40" s="7">
        <v>1433</v>
      </c>
      <c r="F40" s="7" t="s">
        <v>272</v>
      </c>
      <c r="G40" s="7" t="s">
        <v>290</v>
      </c>
    </row>
    <row r="41" spans="1:7">
      <c r="A41" s="7" t="s">
        <v>309</v>
      </c>
      <c r="B41" s="7" t="s">
        <v>288</v>
      </c>
      <c r="C41" s="7" t="s">
        <v>289</v>
      </c>
      <c r="E41" s="7">
        <v>1433</v>
      </c>
      <c r="F41" s="7" t="s">
        <v>272</v>
      </c>
      <c r="G41" s="7" t="s">
        <v>290</v>
      </c>
    </row>
    <row r="42" spans="1:7">
      <c r="A42" s="7" t="s">
        <v>279</v>
      </c>
      <c r="B42" s="7" t="s">
        <v>288</v>
      </c>
      <c r="C42" s="7" t="s">
        <v>289</v>
      </c>
      <c r="E42" s="7">
        <v>1433</v>
      </c>
      <c r="F42" s="7" t="s">
        <v>272</v>
      </c>
      <c r="G42" s="7" t="s">
        <v>290</v>
      </c>
    </row>
    <row r="43" spans="1:7">
      <c r="A43" s="7" t="s">
        <v>310</v>
      </c>
      <c r="B43" s="7" t="s">
        <v>288</v>
      </c>
      <c r="C43" s="7" t="s">
        <v>289</v>
      </c>
      <c r="E43" s="7">
        <v>1433</v>
      </c>
      <c r="F43" s="7" t="s">
        <v>272</v>
      </c>
      <c r="G43" s="7" t="s">
        <v>290</v>
      </c>
    </row>
    <row r="44" spans="1:7">
      <c r="A44" s="7" t="s">
        <v>311</v>
      </c>
      <c r="B44" s="7" t="s">
        <v>288</v>
      </c>
      <c r="C44" s="7" t="s">
        <v>289</v>
      </c>
      <c r="E44" s="7">
        <v>1433</v>
      </c>
      <c r="F44" s="7" t="s">
        <v>272</v>
      </c>
      <c r="G44" s="7" t="s">
        <v>290</v>
      </c>
    </row>
    <row r="45" spans="1:7">
      <c r="A45" s="7" t="s">
        <v>312</v>
      </c>
      <c r="B45" s="7" t="s">
        <v>288</v>
      </c>
      <c r="C45" s="7" t="s">
        <v>289</v>
      </c>
      <c r="E45" s="7">
        <v>1433</v>
      </c>
      <c r="F45" s="7" t="s">
        <v>272</v>
      </c>
      <c r="G45" s="7" t="s">
        <v>290</v>
      </c>
    </row>
    <row r="46" spans="1:7">
      <c r="A46" s="7" t="s">
        <v>313</v>
      </c>
      <c r="B46" s="7" t="s">
        <v>288</v>
      </c>
      <c r="C46" s="7" t="s">
        <v>289</v>
      </c>
      <c r="E46" s="7">
        <v>1433</v>
      </c>
      <c r="F46" s="7" t="s">
        <v>272</v>
      </c>
      <c r="G46" s="7" t="s">
        <v>290</v>
      </c>
    </row>
    <row r="47" spans="1:7">
      <c r="A47" s="7" t="s">
        <v>314</v>
      </c>
      <c r="B47" s="7" t="s">
        <v>288</v>
      </c>
      <c r="C47" s="7" t="s">
        <v>289</v>
      </c>
      <c r="E47" s="7">
        <v>1433</v>
      </c>
      <c r="F47" s="7" t="s">
        <v>272</v>
      </c>
      <c r="G47" s="7" t="s">
        <v>290</v>
      </c>
    </row>
    <row r="48" spans="1:7">
      <c r="A48" s="7" t="s">
        <v>315</v>
      </c>
      <c r="B48" s="7" t="s">
        <v>288</v>
      </c>
      <c r="C48" s="7" t="s">
        <v>289</v>
      </c>
      <c r="E48" s="7">
        <v>1433</v>
      </c>
      <c r="F48" s="7" t="s">
        <v>272</v>
      </c>
      <c r="G48" s="7" t="s">
        <v>290</v>
      </c>
    </row>
    <row r="49" spans="1:7">
      <c r="A49" s="8" t="s">
        <v>269</v>
      </c>
      <c r="B49" s="7" t="s">
        <v>316</v>
      </c>
      <c r="C49" s="7" t="s">
        <v>317</v>
      </c>
      <c r="E49" s="7">
        <v>1433</v>
      </c>
      <c r="F49" s="7" t="s">
        <v>272</v>
      </c>
      <c r="G49" s="7" t="s">
        <v>318</v>
      </c>
    </row>
    <row r="50" spans="1:7">
      <c r="A50" s="7" t="s">
        <v>276</v>
      </c>
      <c r="B50" s="7" t="s">
        <v>316</v>
      </c>
      <c r="C50" s="7" t="s">
        <v>317</v>
      </c>
      <c r="E50" s="7">
        <v>1433</v>
      </c>
      <c r="F50" s="7" t="s">
        <v>272</v>
      </c>
      <c r="G50" s="7" t="s">
        <v>318</v>
      </c>
    </row>
    <row r="51" spans="1:7">
      <c r="A51" s="7" t="s">
        <v>279</v>
      </c>
      <c r="B51" s="7" t="s">
        <v>316</v>
      </c>
      <c r="C51" s="7" t="s">
        <v>317</v>
      </c>
      <c r="E51" s="7">
        <v>1433</v>
      </c>
      <c r="F51" s="7" t="s">
        <v>272</v>
      </c>
      <c r="G51" s="7" t="s">
        <v>318</v>
      </c>
    </row>
    <row r="52" spans="1:7">
      <c r="A52" s="7" t="s">
        <v>280</v>
      </c>
      <c r="B52" s="7" t="s">
        <v>316</v>
      </c>
      <c r="C52" s="7" t="s">
        <v>317</v>
      </c>
      <c r="E52" s="7">
        <v>1433</v>
      </c>
      <c r="F52" s="7" t="s">
        <v>272</v>
      </c>
      <c r="G52" s="7" t="s">
        <v>318</v>
      </c>
    </row>
    <row r="53" spans="1:7">
      <c r="A53" s="7" t="s">
        <v>319</v>
      </c>
      <c r="B53" s="7" t="s">
        <v>316</v>
      </c>
      <c r="C53" s="7" t="s">
        <v>317</v>
      </c>
      <c r="E53" s="7">
        <v>1433</v>
      </c>
      <c r="F53" s="7" t="s">
        <v>272</v>
      </c>
      <c r="G53" s="7" t="s">
        <v>318</v>
      </c>
    </row>
    <row r="54" spans="1:7">
      <c r="A54" s="7" t="s">
        <v>320</v>
      </c>
      <c r="B54" s="7" t="s">
        <v>316</v>
      </c>
      <c r="C54" s="7" t="s">
        <v>317</v>
      </c>
      <c r="E54" s="7">
        <v>1433</v>
      </c>
      <c r="F54" s="7" t="s">
        <v>272</v>
      </c>
      <c r="G54" s="7" t="s">
        <v>318</v>
      </c>
    </row>
    <row r="55" spans="1:7">
      <c r="A55" s="7" t="s">
        <v>321</v>
      </c>
      <c r="B55" s="7" t="s">
        <v>316</v>
      </c>
      <c r="C55" s="7" t="s">
        <v>317</v>
      </c>
      <c r="E55" s="7">
        <v>1433</v>
      </c>
      <c r="F55" s="7" t="s">
        <v>272</v>
      </c>
      <c r="G55" s="7" t="s">
        <v>318</v>
      </c>
    </row>
    <row r="56" spans="1:7">
      <c r="A56" s="7" t="s">
        <v>274</v>
      </c>
      <c r="B56" s="7" t="s">
        <v>316</v>
      </c>
      <c r="C56" s="7" t="s">
        <v>317</v>
      </c>
      <c r="E56" s="7">
        <v>1433</v>
      </c>
      <c r="F56" s="7" t="s">
        <v>272</v>
      </c>
      <c r="G56" s="7" t="s">
        <v>318</v>
      </c>
    </row>
    <row r="57" spans="1:7">
      <c r="A57" s="7" t="s">
        <v>298</v>
      </c>
      <c r="B57" s="7" t="s">
        <v>316</v>
      </c>
      <c r="C57" s="7" t="s">
        <v>317</v>
      </c>
      <c r="E57" s="7">
        <v>1433</v>
      </c>
      <c r="F57" s="7" t="s">
        <v>272</v>
      </c>
      <c r="G57" s="7" t="s">
        <v>318</v>
      </c>
    </row>
    <row r="58" spans="1:7">
      <c r="A58" s="7" t="s">
        <v>295</v>
      </c>
      <c r="B58" s="7" t="s">
        <v>316</v>
      </c>
      <c r="C58" s="7" t="s">
        <v>317</v>
      </c>
      <c r="E58" s="7">
        <v>1433</v>
      </c>
      <c r="F58" s="7" t="s">
        <v>272</v>
      </c>
      <c r="G58" s="7" t="s">
        <v>318</v>
      </c>
    </row>
    <row r="59" spans="1:7">
      <c r="A59" s="7" t="s">
        <v>322</v>
      </c>
      <c r="B59" s="7" t="s">
        <v>316</v>
      </c>
      <c r="C59" s="7" t="s">
        <v>317</v>
      </c>
      <c r="E59" s="7">
        <v>1433</v>
      </c>
      <c r="F59" s="7" t="s">
        <v>272</v>
      </c>
      <c r="G59" s="7" t="s">
        <v>318</v>
      </c>
    </row>
    <row r="60" spans="1:7">
      <c r="A60" s="7" t="s">
        <v>323</v>
      </c>
      <c r="B60" s="7" t="s">
        <v>316</v>
      </c>
      <c r="C60" s="7" t="s">
        <v>317</v>
      </c>
      <c r="E60" s="7">
        <v>1433</v>
      </c>
      <c r="F60" s="7" t="s">
        <v>272</v>
      </c>
      <c r="G60" s="7" t="s">
        <v>318</v>
      </c>
    </row>
    <row r="61" spans="1:7">
      <c r="A61" s="7" t="s">
        <v>324</v>
      </c>
      <c r="B61" s="7" t="s">
        <v>316</v>
      </c>
      <c r="C61" s="7" t="s">
        <v>317</v>
      </c>
      <c r="E61" s="7">
        <v>1433</v>
      </c>
      <c r="F61" s="7" t="s">
        <v>272</v>
      </c>
      <c r="G61" s="7" t="s">
        <v>318</v>
      </c>
    </row>
    <row r="62" spans="1:7">
      <c r="A62" s="7" t="s">
        <v>325</v>
      </c>
      <c r="B62" s="7" t="s">
        <v>316</v>
      </c>
      <c r="C62" s="7" t="s">
        <v>317</v>
      </c>
      <c r="E62" s="7">
        <v>1433</v>
      </c>
      <c r="F62" s="7" t="s">
        <v>272</v>
      </c>
      <c r="G62" s="7" t="s">
        <v>318</v>
      </c>
    </row>
    <row r="63" spans="1:7">
      <c r="A63" s="7" t="s">
        <v>326</v>
      </c>
      <c r="B63" s="7" t="s">
        <v>316</v>
      </c>
      <c r="C63" s="7" t="s">
        <v>317</v>
      </c>
      <c r="E63" s="7">
        <v>1433</v>
      </c>
      <c r="F63" s="7" t="s">
        <v>272</v>
      </c>
      <c r="G63" s="7" t="s">
        <v>318</v>
      </c>
    </row>
    <row r="64" spans="1:7">
      <c r="A64" s="7" t="s">
        <v>327</v>
      </c>
      <c r="B64" s="7" t="s">
        <v>316</v>
      </c>
      <c r="C64" s="7" t="s">
        <v>317</v>
      </c>
      <c r="E64" s="7">
        <v>1433</v>
      </c>
      <c r="F64" s="7" t="s">
        <v>272</v>
      </c>
      <c r="G64" s="7" t="s">
        <v>318</v>
      </c>
    </row>
    <row r="65" spans="1:7">
      <c r="A65" s="7" t="s">
        <v>328</v>
      </c>
      <c r="B65" s="7" t="s">
        <v>316</v>
      </c>
      <c r="C65" s="7" t="s">
        <v>317</v>
      </c>
      <c r="E65" s="7">
        <v>1433</v>
      </c>
      <c r="F65" s="7" t="s">
        <v>272</v>
      </c>
      <c r="G65" s="7" t="s">
        <v>318</v>
      </c>
    </row>
    <row r="66" spans="1:7">
      <c r="A66" s="7" t="s">
        <v>329</v>
      </c>
      <c r="B66" s="7" t="s">
        <v>316</v>
      </c>
      <c r="C66" s="7" t="s">
        <v>317</v>
      </c>
      <c r="E66" s="7">
        <v>1433</v>
      </c>
      <c r="F66" s="7" t="s">
        <v>272</v>
      </c>
      <c r="G66" s="7" t="s">
        <v>318</v>
      </c>
    </row>
    <row r="67" spans="1:7">
      <c r="A67" s="7" t="s">
        <v>330</v>
      </c>
      <c r="B67" s="7" t="s">
        <v>316</v>
      </c>
      <c r="C67" s="7" t="s">
        <v>317</v>
      </c>
      <c r="E67" s="7">
        <v>1433</v>
      </c>
      <c r="F67" s="7" t="s">
        <v>272</v>
      </c>
      <c r="G67" s="7" t="s">
        <v>318</v>
      </c>
    </row>
    <row r="68" spans="1:7">
      <c r="A68" s="7" t="s">
        <v>331</v>
      </c>
      <c r="B68" s="7" t="s">
        <v>316</v>
      </c>
      <c r="C68" s="7" t="s">
        <v>317</v>
      </c>
      <c r="E68" s="7">
        <v>1433</v>
      </c>
      <c r="F68" s="7" t="s">
        <v>272</v>
      </c>
      <c r="G68" s="7" t="s">
        <v>318</v>
      </c>
    </row>
    <row r="69" spans="1:7">
      <c r="A69" s="7" t="s">
        <v>332</v>
      </c>
      <c r="B69" s="7" t="s">
        <v>316</v>
      </c>
      <c r="C69" s="7" t="s">
        <v>317</v>
      </c>
      <c r="E69" s="7">
        <v>1433</v>
      </c>
      <c r="F69" s="7" t="s">
        <v>272</v>
      </c>
      <c r="G69" s="7" t="s">
        <v>318</v>
      </c>
    </row>
    <row r="70" spans="1:7">
      <c r="A70" s="7" t="s">
        <v>333</v>
      </c>
      <c r="B70" s="7" t="s">
        <v>316</v>
      </c>
      <c r="C70" s="7" t="s">
        <v>317</v>
      </c>
      <c r="E70" s="7">
        <v>1433</v>
      </c>
      <c r="F70" s="7" t="s">
        <v>272</v>
      </c>
      <c r="G70" s="7" t="s">
        <v>318</v>
      </c>
    </row>
    <row r="71" spans="1:7">
      <c r="A71" s="7" t="s">
        <v>334</v>
      </c>
      <c r="B71" s="7" t="s">
        <v>316</v>
      </c>
      <c r="C71" s="7" t="s">
        <v>317</v>
      </c>
      <c r="E71" s="7">
        <v>1433</v>
      </c>
      <c r="F71" s="7" t="s">
        <v>272</v>
      </c>
      <c r="G71" s="7" t="s">
        <v>318</v>
      </c>
    </row>
    <row r="72" spans="1:7">
      <c r="A72" s="7" t="s">
        <v>335</v>
      </c>
      <c r="B72" s="7" t="s">
        <v>316</v>
      </c>
      <c r="C72" s="7" t="s">
        <v>317</v>
      </c>
      <c r="E72" s="7">
        <v>1433</v>
      </c>
      <c r="F72" s="7" t="s">
        <v>272</v>
      </c>
      <c r="G72" s="7" t="s">
        <v>318</v>
      </c>
    </row>
    <row r="73" spans="1:7">
      <c r="A73" s="7" t="s">
        <v>336</v>
      </c>
      <c r="B73" s="7" t="s">
        <v>316</v>
      </c>
      <c r="C73" s="7" t="s">
        <v>317</v>
      </c>
      <c r="E73" s="7">
        <v>1433</v>
      </c>
      <c r="F73" s="7" t="s">
        <v>272</v>
      </c>
      <c r="G73" s="7" t="s">
        <v>318</v>
      </c>
    </row>
    <row r="74" spans="1:7">
      <c r="A74" s="7" t="s">
        <v>337</v>
      </c>
      <c r="B74" s="7" t="s">
        <v>316</v>
      </c>
      <c r="C74" s="7" t="s">
        <v>317</v>
      </c>
      <c r="E74" s="7">
        <v>1433</v>
      </c>
      <c r="F74" s="7" t="s">
        <v>272</v>
      </c>
      <c r="G74" s="7" t="s">
        <v>318</v>
      </c>
    </row>
    <row r="75" spans="1:7">
      <c r="A75" s="7" t="s">
        <v>338</v>
      </c>
      <c r="B75" s="7" t="s">
        <v>316</v>
      </c>
      <c r="C75" s="7" t="s">
        <v>317</v>
      </c>
      <c r="E75" s="7">
        <v>1433</v>
      </c>
      <c r="F75" s="7" t="s">
        <v>272</v>
      </c>
      <c r="G75" s="7" t="s">
        <v>318</v>
      </c>
    </row>
    <row r="76" spans="1:7">
      <c r="A76" s="7" t="s">
        <v>339</v>
      </c>
      <c r="B76" s="7" t="s">
        <v>316</v>
      </c>
      <c r="C76" s="7" t="s">
        <v>317</v>
      </c>
      <c r="E76" s="7">
        <v>1433</v>
      </c>
      <c r="F76" s="7" t="s">
        <v>272</v>
      </c>
      <c r="G76" s="7" t="s">
        <v>318</v>
      </c>
    </row>
    <row r="77" spans="1:7">
      <c r="A77" s="7" t="s">
        <v>340</v>
      </c>
      <c r="B77" s="7" t="s">
        <v>316</v>
      </c>
      <c r="C77" s="7" t="s">
        <v>317</v>
      </c>
      <c r="E77" s="7">
        <v>1433</v>
      </c>
      <c r="F77" s="7" t="s">
        <v>272</v>
      </c>
      <c r="G77" s="7" t="s">
        <v>318</v>
      </c>
    </row>
    <row r="78" spans="1:7">
      <c r="A78" s="7" t="s">
        <v>341</v>
      </c>
      <c r="B78" s="7" t="s">
        <v>316</v>
      </c>
      <c r="C78" s="7" t="s">
        <v>317</v>
      </c>
      <c r="E78" s="7">
        <v>1433</v>
      </c>
      <c r="F78" s="7" t="s">
        <v>272</v>
      </c>
      <c r="G78" s="7" t="s">
        <v>318</v>
      </c>
    </row>
    <row r="79" spans="1:7">
      <c r="A79" s="7" t="s">
        <v>282</v>
      </c>
      <c r="B79" s="7" t="s">
        <v>316</v>
      </c>
      <c r="C79" s="7" t="s">
        <v>317</v>
      </c>
      <c r="E79" s="7">
        <v>1433</v>
      </c>
      <c r="F79" s="7" t="s">
        <v>272</v>
      </c>
      <c r="G79" s="7" t="s">
        <v>318</v>
      </c>
    </row>
    <row r="80" spans="1:7">
      <c r="A80" s="7" t="s">
        <v>342</v>
      </c>
      <c r="B80" s="7" t="s">
        <v>316</v>
      </c>
      <c r="C80" s="7" t="s">
        <v>317</v>
      </c>
      <c r="E80" s="7">
        <v>1433</v>
      </c>
      <c r="F80" s="7" t="s">
        <v>272</v>
      </c>
      <c r="G80" s="7" t="s">
        <v>318</v>
      </c>
    </row>
    <row r="81" spans="1:7">
      <c r="A81" s="7" t="s">
        <v>293</v>
      </c>
      <c r="B81" s="7" t="s">
        <v>316</v>
      </c>
      <c r="C81" s="7" t="s">
        <v>317</v>
      </c>
      <c r="E81" s="7">
        <v>1433</v>
      </c>
      <c r="F81" s="7" t="s">
        <v>272</v>
      </c>
      <c r="G81" s="7" t="s">
        <v>318</v>
      </c>
    </row>
    <row r="82" spans="1:7">
      <c r="A82" s="7" t="s">
        <v>343</v>
      </c>
      <c r="B82" s="7" t="s">
        <v>316</v>
      </c>
      <c r="C82" s="7" t="s">
        <v>317</v>
      </c>
      <c r="E82" s="7">
        <v>1433</v>
      </c>
      <c r="F82" s="7" t="s">
        <v>272</v>
      </c>
      <c r="G82" s="7" t="s">
        <v>318</v>
      </c>
    </row>
    <row r="83" spans="1:7">
      <c r="A83" s="7" t="s">
        <v>344</v>
      </c>
      <c r="B83" s="7" t="s">
        <v>316</v>
      </c>
      <c r="C83" s="7" t="s">
        <v>317</v>
      </c>
      <c r="E83" s="7">
        <v>1433</v>
      </c>
      <c r="F83" s="7" t="s">
        <v>272</v>
      </c>
      <c r="G83" s="7" t="s">
        <v>318</v>
      </c>
    </row>
    <row r="84" spans="1:7">
      <c r="A84" s="7" t="s">
        <v>283</v>
      </c>
      <c r="B84" s="7" t="s">
        <v>316</v>
      </c>
      <c r="C84" s="7" t="s">
        <v>317</v>
      </c>
      <c r="E84" s="7">
        <v>1433</v>
      </c>
      <c r="F84" s="7" t="s">
        <v>272</v>
      </c>
      <c r="G84" s="7" t="s">
        <v>318</v>
      </c>
    </row>
    <row r="85" spans="1:7">
      <c r="A85" s="7" t="s">
        <v>312</v>
      </c>
      <c r="B85" s="7" t="s">
        <v>316</v>
      </c>
      <c r="C85" s="7" t="s">
        <v>317</v>
      </c>
      <c r="E85" s="7">
        <v>1433</v>
      </c>
      <c r="F85" s="7" t="s">
        <v>272</v>
      </c>
      <c r="G85" s="7" t="s">
        <v>318</v>
      </c>
    </row>
    <row r="86" spans="1:7">
      <c r="A86" s="7" t="s">
        <v>345</v>
      </c>
      <c r="B86" s="7" t="s">
        <v>316</v>
      </c>
      <c r="C86" s="7" t="s">
        <v>317</v>
      </c>
      <c r="E86" s="7">
        <v>1433</v>
      </c>
      <c r="F86" s="7" t="s">
        <v>272</v>
      </c>
      <c r="G86" s="7" t="s">
        <v>318</v>
      </c>
    </row>
    <row r="87" spans="1:7">
      <c r="A87" s="7" t="s">
        <v>346</v>
      </c>
      <c r="B87" s="7" t="s">
        <v>316</v>
      </c>
      <c r="C87" s="7" t="s">
        <v>317</v>
      </c>
      <c r="E87" s="7">
        <v>1433</v>
      </c>
      <c r="F87" s="7" t="s">
        <v>272</v>
      </c>
      <c r="G87" s="7" t="s">
        <v>318</v>
      </c>
    </row>
    <row r="88" spans="1:7">
      <c r="A88" s="7" t="s">
        <v>347</v>
      </c>
      <c r="B88" s="7" t="s">
        <v>316</v>
      </c>
      <c r="C88" s="7" t="s">
        <v>317</v>
      </c>
      <c r="E88" s="7">
        <v>1433</v>
      </c>
      <c r="F88" s="7" t="s">
        <v>272</v>
      </c>
      <c r="G88" s="7" t="s">
        <v>318</v>
      </c>
    </row>
    <row r="89" spans="1:7">
      <c r="A89" s="7" t="s">
        <v>348</v>
      </c>
      <c r="B89" s="7" t="s">
        <v>316</v>
      </c>
      <c r="C89" s="7" t="s">
        <v>317</v>
      </c>
      <c r="E89" s="7">
        <v>1433</v>
      </c>
      <c r="F89" s="7" t="s">
        <v>272</v>
      </c>
      <c r="G89" s="7" t="s">
        <v>318</v>
      </c>
    </row>
    <row r="90" spans="1:7">
      <c r="A90" s="7" t="s">
        <v>349</v>
      </c>
      <c r="B90" s="7" t="s">
        <v>316</v>
      </c>
      <c r="C90" s="7" t="s">
        <v>317</v>
      </c>
      <c r="E90" s="7">
        <v>1433</v>
      </c>
      <c r="F90" s="7" t="s">
        <v>272</v>
      </c>
      <c r="G90" s="7" t="s">
        <v>318</v>
      </c>
    </row>
    <row r="91" spans="1:7">
      <c r="A91" s="7" t="s">
        <v>350</v>
      </c>
      <c r="B91" s="7" t="s">
        <v>316</v>
      </c>
      <c r="C91" s="7" t="s">
        <v>317</v>
      </c>
      <c r="E91" s="7">
        <v>1433</v>
      </c>
      <c r="F91" s="7" t="s">
        <v>272</v>
      </c>
      <c r="G91" s="7" t="s">
        <v>318</v>
      </c>
    </row>
    <row r="92" spans="1:7">
      <c r="A92" s="7" t="s">
        <v>351</v>
      </c>
      <c r="B92" s="7" t="s">
        <v>316</v>
      </c>
      <c r="C92" s="7" t="s">
        <v>317</v>
      </c>
      <c r="E92" s="7">
        <v>1433</v>
      </c>
      <c r="F92" s="7" t="s">
        <v>272</v>
      </c>
      <c r="G92" s="7" t="s">
        <v>318</v>
      </c>
    </row>
    <row r="93" spans="1:7">
      <c r="A93" s="7" t="s">
        <v>352</v>
      </c>
      <c r="B93" s="7" t="s">
        <v>316</v>
      </c>
      <c r="C93" s="7" t="s">
        <v>317</v>
      </c>
      <c r="E93" s="7">
        <v>1433</v>
      </c>
      <c r="F93" s="7" t="s">
        <v>272</v>
      </c>
      <c r="G93" s="7" t="s">
        <v>318</v>
      </c>
    </row>
    <row r="94" spans="1:7">
      <c r="A94" s="7" t="s">
        <v>353</v>
      </c>
      <c r="B94" s="7" t="s">
        <v>316</v>
      </c>
      <c r="C94" s="7" t="s">
        <v>317</v>
      </c>
      <c r="E94" s="7">
        <v>1433</v>
      </c>
      <c r="F94" s="7" t="s">
        <v>272</v>
      </c>
      <c r="G94" s="7" t="s">
        <v>318</v>
      </c>
    </row>
    <row r="95" spans="1:7">
      <c r="A95" s="7" t="s">
        <v>354</v>
      </c>
      <c r="B95" s="7" t="s">
        <v>316</v>
      </c>
      <c r="C95" s="7" t="s">
        <v>317</v>
      </c>
      <c r="E95" s="7">
        <v>1433</v>
      </c>
      <c r="F95" s="7" t="s">
        <v>272</v>
      </c>
      <c r="G95" s="7" t="s">
        <v>318</v>
      </c>
    </row>
    <row r="96" spans="1:7">
      <c r="A96" s="7" t="s">
        <v>355</v>
      </c>
      <c r="B96" s="7" t="s">
        <v>316</v>
      </c>
      <c r="C96" s="7" t="s">
        <v>317</v>
      </c>
      <c r="E96" s="7">
        <v>1433</v>
      </c>
      <c r="F96" s="7" t="s">
        <v>272</v>
      </c>
      <c r="G96" s="7" t="s">
        <v>318</v>
      </c>
    </row>
    <row r="97" spans="1:7">
      <c r="A97" s="7" t="s">
        <v>356</v>
      </c>
      <c r="B97" s="7" t="s">
        <v>316</v>
      </c>
      <c r="C97" s="7" t="s">
        <v>317</v>
      </c>
      <c r="E97" s="7">
        <v>1433</v>
      </c>
      <c r="F97" s="7" t="s">
        <v>272</v>
      </c>
      <c r="G97" s="7" t="s">
        <v>318</v>
      </c>
    </row>
    <row r="98" spans="1:7">
      <c r="A98" s="7" t="s">
        <v>357</v>
      </c>
      <c r="B98" s="7" t="s">
        <v>316</v>
      </c>
      <c r="C98" s="7" t="s">
        <v>317</v>
      </c>
      <c r="E98" s="7">
        <v>1433</v>
      </c>
      <c r="F98" s="7" t="s">
        <v>272</v>
      </c>
      <c r="G98" s="7" t="s">
        <v>318</v>
      </c>
    </row>
    <row r="99" spans="1:7">
      <c r="A99" s="7" t="s">
        <v>358</v>
      </c>
      <c r="B99" s="7" t="s">
        <v>316</v>
      </c>
      <c r="C99" s="7" t="s">
        <v>317</v>
      </c>
      <c r="E99" s="7">
        <v>1433</v>
      </c>
      <c r="F99" s="7" t="s">
        <v>272</v>
      </c>
      <c r="G99" s="7" t="s">
        <v>318</v>
      </c>
    </row>
    <row r="100" spans="1:7">
      <c r="A100" s="7" t="s">
        <v>359</v>
      </c>
      <c r="B100" s="7" t="s">
        <v>316</v>
      </c>
      <c r="C100" s="7" t="s">
        <v>317</v>
      </c>
      <c r="E100" s="7">
        <v>1433</v>
      </c>
      <c r="F100" s="7" t="s">
        <v>272</v>
      </c>
      <c r="G100" s="7" t="s">
        <v>318</v>
      </c>
    </row>
    <row r="101" spans="1:7">
      <c r="A101" s="7" t="s">
        <v>360</v>
      </c>
      <c r="B101" s="7" t="s">
        <v>316</v>
      </c>
      <c r="C101" s="7" t="s">
        <v>317</v>
      </c>
      <c r="E101" s="7">
        <v>1433</v>
      </c>
      <c r="F101" s="7" t="s">
        <v>272</v>
      </c>
      <c r="G101" s="7" t="s">
        <v>318</v>
      </c>
    </row>
    <row r="102" spans="1:7">
      <c r="A102" s="7" t="s">
        <v>361</v>
      </c>
      <c r="B102" s="7" t="s">
        <v>316</v>
      </c>
      <c r="C102" s="7" t="s">
        <v>317</v>
      </c>
      <c r="E102" s="7">
        <v>1433</v>
      </c>
      <c r="F102" s="7" t="s">
        <v>272</v>
      </c>
      <c r="G102" s="7" t="s">
        <v>318</v>
      </c>
    </row>
    <row r="103" spans="1:7">
      <c r="A103" s="7" t="s">
        <v>362</v>
      </c>
      <c r="B103" s="7" t="s">
        <v>316</v>
      </c>
      <c r="C103" s="7" t="s">
        <v>317</v>
      </c>
      <c r="E103" s="7">
        <v>1433</v>
      </c>
      <c r="F103" s="7" t="s">
        <v>272</v>
      </c>
      <c r="G103" s="7" t="s">
        <v>318</v>
      </c>
    </row>
    <row r="104" spans="1:7">
      <c r="A104" s="7" t="s">
        <v>363</v>
      </c>
      <c r="B104" s="7" t="s">
        <v>316</v>
      </c>
      <c r="C104" s="7" t="s">
        <v>317</v>
      </c>
      <c r="E104" s="7">
        <v>1433</v>
      </c>
      <c r="F104" s="7" t="s">
        <v>272</v>
      </c>
      <c r="G104" s="7" t="s">
        <v>318</v>
      </c>
    </row>
    <row r="105" spans="1:7">
      <c r="A105" s="7" t="s">
        <v>364</v>
      </c>
      <c r="B105" s="7" t="s">
        <v>316</v>
      </c>
      <c r="C105" s="7" t="s">
        <v>317</v>
      </c>
      <c r="E105" s="7">
        <v>1433</v>
      </c>
      <c r="F105" s="7" t="s">
        <v>272</v>
      </c>
      <c r="G105" s="7" t="s">
        <v>318</v>
      </c>
    </row>
    <row r="106" spans="1:7">
      <c r="A106" s="7" t="s">
        <v>365</v>
      </c>
      <c r="B106" s="7" t="s">
        <v>316</v>
      </c>
      <c r="C106" s="7" t="s">
        <v>317</v>
      </c>
      <c r="E106" s="7">
        <v>1433</v>
      </c>
      <c r="F106" s="7" t="s">
        <v>272</v>
      </c>
      <c r="G106" s="7" t="s">
        <v>318</v>
      </c>
    </row>
    <row r="107" spans="1:7">
      <c r="A107" s="7" t="s">
        <v>366</v>
      </c>
      <c r="B107" s="7" t="s">
        <v>316</v>
      </c>
      <c r="C107" s="7" t="s">
        <v>317</v>
      </c>
      <c r="E107" s="7">
        <v>1433</v>
      </c>
      <c r="F107" s="7" t="s">
        <v>272</v>
      </c>
      <c r="G107" s="7" t="s">
        <v>318</v>
      </c>
    </row>
    <row r="108" spans="1:7">
      <c r="A108" s="7" t="s">
        <v>367</v>
      </c>
      <c r="B108" s="7" t="s">
        <v>316</v>
      </c>
      <c r="C108" s="7" t="s">
        <v>317</v>
      </c>
      <c r="E108" s="7">
        <v>1433</v>
      </c>
      <c r="F108" s="7" t="s">
        <v>272</v>
      </c>
      <c r="G108" s="7" t="s">
        <v>318</v>
      </c>
    </row>
    <row r="109" spans="1:7">
      <c r="A109" s="7" t="s">
        <v>368</v>
      </c>
      <c r="B109" s="7" t="s">
        <v>316</v>
      </c>
      <c r="C109" s="7" t="s">
        <v>317</v>
      </c>
      <c r="E109" s="7">
        <v>1433</v>
      </c>
      <c r="F109" s="7" t="s">
        <v>272</v>
      </c>
      <c r="G109" s="7" t="s">
        <v>318</v>
      </c>
    </row>
    <row r="110" spans="1:7">
      <c r="A110" s="7" t="s">
        <v>369</v>
      </c>
      <c r="B110" s="7" t="s">
        <v>316</v>
      </c>
      <c r="C110" s="7" t="s">
        <v>317</v>
      </c>
      <c r="E110" s="7">
        <v>1433</v>
      </c>
      <c r="F110" s="7" t="s">
        <v>272</v>
      </c>
      <c r="G110" s="7" t="s">
        <v>318</v>
      </c>
    </row>
    <row r="111" spans="1:7">
      <c r="A111" s="7" t="s">
        <v>370</v>
      </c>
      <c r="B111" s="7" t="s">
        <v>316</v>
      </c>
      <c r="C111" s="7" t="s">
        <v>317</v>
      </c>
      <c r="E111" s="7">
        <v>1433</v>
      </c>
      <c r="F111" s="7" t="s">
        <v>272</v>
      </c>
      <c r="G111" s="7" t="s">
        <v>318</v>
      </c>
    </row>
    <row r="112" spans="1:7">
      <c r="A112" s="7" t="s">
        <v>371</v>
      </c>
      <c r="B112" s="7" t="s">
        <v>316</v>
      </c>
      <c r="C112" s="7" t="s">
        <v>317</v>
      </c>
      <c r="E112" s="7">
        <v>1433</v>
      </c>
      <c r="F112" s="7" t="s">
        <v>272</v>
      </c>
      <c r="G112" s="7" t="s">
        <v>318</v>
      </c>
    </row>
    <row r="113" spans="1:7">
      <c r="A113" s="7" t="s">
        <v>372</v>
      </c>
      <c r="B113" s="7" t="s">
        <v>316</v>
      </c>
      <c r="C113" s="7" t="s">
        <v>317</v>
      </c>
      <c r="E113" s="7">
        <v>1433</v>
      </c>
      <c r="F113" s="7" t="s">
        <v>272</v>
      </c>
      <c r="G113" s="7" t="s">
        <v>318</v>
      </c>
    </row>
    <row r="114" spans="1:7">
      <c r="A114" s="7" t="s">
        <v>297</v>
      </c>
      <c r="B114" s="7" t="s">
        <v>316</v>
      </c>
      <c r="C114" s="7" t="s">
        <v>317</v>
      </c>
      <c r="E114" s="7">
        <v>1433</v>
      </c>
      <c r="F114" s="7" t="s">
        <v>272</v>
      </c>
      <c r="G114" s="7" t="s">
        <v>318</v>
      </c>
    </row>
    <row r="115" spans="1:7">
      <c r="A115" s="7" t="s">
        <v>373</v>
      </c>
      <c r="B115" s="7" t="s">
        <v>316</v>
      </c>
      <c r="C115" s="7" t="s">
        <v>317</v>
      </c>
      <c r="E115" s="7">
        <v>1433</v>
      </c>
      <c r="F115" s="7" t="s">
        <v>272</v>
      </c>
      <c r="G115" s="7" t="s">
        <v>318</v>
      </c>
    </row>
    <row r="116" spans="1:7">
      <c r="A116" s="7" t="s">
        <v>374</v>
      </c>
      <c r="B116" s="7" t="s">
        <v>316</v>
      </c>
      <c r="C116" s="7" t="s">
        <v>317</v>
      </c>
      <c r="E116" s="7">
        <v>1433</v>
      </c>
      <c r="F116" s="7" t="s">
        <v>272</v>
      </c>
      <c r="G116" s="7" t="s">
        <v>318</v>
      </c>
    </row>
    <row r="117" spans="1:7">
      <c r="A117" s="7" t="s">
        <v>375</v>
      </c>
      <c r="B117" s="7" t="s">
        <v>316</v>
      </c>
      <c r="C117" s="7" t="s">
        <v>317</v>
      </c>
      <c r="E117" s="7">
        <v>1433</v>
      </c>
      <c r="F117" s="7" t="s">
        <v>272</v>
      </c>
      <c r="G117" s="7" t="s">
        <v>318</v>
      </c>
    </row>
    <row r="118" spans="1:7">
      <c r="A118" s="7" t="s">
        <v>376</v>
      </c>
      <c r="B118" s="7" t="s">
        <v>316</v>
      </c>
      <c r="C118" s="7" t="s">
        <v>317</v>
      </c>
      <c r="E118" s="7">
        <v>1433</v>
      </c>
      <c r="F118" s="7" t="s">
        <v>272</v>
      </c>
      <c r="G118" s="7" t="s">
        <v>318</v>
      </c>
    </row>
    <row r="119" spans="1:7">
      <c r="A119" s="7" t="s">
        <v>377</v>
      </c>
      <c r="B119" s="7" t="s">
        <v>316</v>
      </c>
      <c r="C119" s="7" t="s">
        <v>317</v>
      </c>
      <c r="E119" s="7">
        <v>1433</v>
      </c>
      <c r="F119" s="7" t="s">
        <v>272</v>
      </c>
      <c r="G119" s="7" t="s">
        <v>318</v>
      </c>
    </row>
    <row r="120" spans="1:7">
      <c r="A120" s="7" t="s">
        <v>378</v>
      </c>
      <c r="B120" s="7" t="s">
        <v>316</v>
      </c>
      <c r="C120" s="7" t="s">
        <v>317</v>
      </c>
      <c r="E120" s="7">
        <v>1433</v>
      </c>
      <c r="F120" s="7" t="s">
        <v>272</v>
      </c>
      <c r="G120" s="7" t="s">
        <v>318</v>
      </c>
    </row>
    <row r="121" spans="1:7">
      <c r="A121" s="7" t="s">
        <v>379</v>
      </c>
      <c r="B121" s="7" t="s">
        <v>316</v>
      </c>
      <c r="C121" s="7" t="s">
        <v>317</v>
      </c>
      <c r="E121" s="7">
        <v>1433</v>
      </c>
      <c r="F121" s="7" t="s">
        <v>272</v>
      </c>
      <c r="G121" s="7" t="s">
        <v>318</v>
      </c>
    </row>
    <row r="122" spans="1:7">
      <c r="A122" s="7" t="s">
        <v>380</v>
      </c>
      <c r="B122" s="7" t="s">
        <v>316</v>
      </c>
      <c r="C122" s="7" t="s">
        <v>317</v>
      </c>
      <c r="E122" s="7">
        <v>1433</v>
      </c>
      <c r="F122" s="7" t="s">
        <v>272</v>
      </c>
      <c r="G122" s="7" t="s">
        <v>318</v>
      </c>
    </row>
    <row r="123" spans="1:7">
      <c r="A123" s="7" t="s">
        <v>292</v>
      </c>
      <c r="B123" s="7" t="s">
        <v>316</v>
      </c>
      <c r="C123" s="7" t="s">
        <v>317</v>
      </c>
      <c r="E123" s="7">
        <v>1433</v>
      </c>
      <c r="F123" s="7" t="s">
        <v>272</v>
      </c>
      <c r="G123" s="7" t="s">
        <v>318</v>
      </c>
    </row>
    <row r="124" spans="1:7">
      <c r="A124" s="7" t="s">
        <v>381</v>
      </c>
      <c r="B124" s="7" t="s">
        <v>316</v>
      </c>
      <c r="C124" s="7" t="s">
        <v>317</v>
      </c>
      <c r="E124" s="7">
        <v>1433</v>
      </c>
      <c r="F124" s="7" t="s">
        <v>272</v>
      </c>
      <c r="G124" s="7" t="s">
        <v>318</v>
      </c>
    </row>
    <row r="125" spans="1:7">
      <c r="A125" s="7" t="s">
        <v>382</v>
      </c>
      <c r="B125" s="7" t="s">
        <v>316</v>
      </c>
      <c r="C125" s="7" t="s">
        <v>317</v>
      </c>
      <c r="E125" s="7">
        <v>1433</v>
      </c>
      <c r="F125" s="7" t="s">
        <v>272</v>
      </c>
      <c r="G125" s="7" t="s">
        <v>318</v>
      </c>
    </row>
    <row r="126" spans="1:7">
      <c r="A126" s="7" t="s">
        <v>285</v>
      </c>
      <c r="B126" s="7" t="s">
        <v>316</v>
      </c>
      <c r="C126" s="7" t="s">
        <v>317</v>
      </c>
      <c r="E126" s="7">
        <v>1433</v>
      </c>
      <c r="F126" s="7" t="s">
        <v>272</v>
      </c>
      <c r="G126" s="7" t="s">
        <v>318</v>
      </c>
    </row>
    <row r="127" spans="1:7">
      <c r="A127" s="7" t="s">
        <v>383</v>
      </c>
      <c r="B127" s="7" t="s">
        <v>316</v>
      </c>
      <c r="C127" s="7" t="s">
        <v>317</v>
      </c>
      <c r="E127" s="7">
        <v>1433</v>
      </c>
      <c r="F127" s="7" t="s">
        <v>272</v>
      </c>
      <c r="G127" s="7" t="s">
        <v>318</v>
      </c>
    </row>
    <row r="128" spans="1:7">
      <c r="A128" s="7" t="s">
        <v>300</v>
      </c>
      <c r="B128" s="7" t="s">
        <v>316</v>
      </c>
      <c r="C128" s="7" t="s">
        <v>317</v>
      </c>
      <c r="E128" s="7">
        <v>1433</v>
      </c>
      <c r="F128" s="7" t="s">
        <v>272</v>
      </c>
      <c r="G128" s="7" t="s">
        <v>318</v>
      </c>
    </row>
    <row r="129" spans="1:7">
      <c r="A129" s="7" t="s">
        <v>384</v>
      </c>
      <c r="B129" s="7" t="s">
        <v>316</v>
      </c>
      <c r="C129" s="7" t="s">
        <v>317</v>
      </c>
      <c r="E129" s="7">
        <v>1433</v>
      </c>
      <c r="F129" s="7" t="s">
        <v>272</v>
      </c>
      <c r="G129" s="7" t="s">
        <v>318</v>
      </c>
    </row>
    <row r="130" spans="1:7">
      <c r="A130" s="7" t="s">
        <v>385</v>
      </c>
      <c r="B130" s="7" t="s">
        <v>316</v>
      </c>
      <c r="C130" s="7" t="s">
        <v>317</v>
      </c>
      <c r="E130" s="7">
        <v>1433</v>
      </c>
      <c r="F130" s="7" t="s">
        <v>272</v>
      </c>
      <c r="G130" s="7" t="s">
        <v>318</v>
      </c>
    </row>
    <row r="131" spans="1:7">
      <c r="A131" s="7" t="s">
        <v>242</v>
      </c>
      <c r="B131" s="7" t="s">
        <v>316</v>
      </c>
      <c r="C131" s="7" t="s">
        <v>317</v>
      </c>
      <c r="E131" s="7">
        <v>1433</v>
      </c>
      <c r="F131" s="7" t="s">
        <v>272</v>
      </c>
      <c r="G131" s="7" t="s">
        <v>318</v>
      </c>
    </row>
    <row r="132" spans="1:7">
      <c r="A132" s="7" t="s">
        <v>386</v>
      </c>
      <c r="B132" s="7" t="s">
        <v>316</v>
      </c>
      <c r="C132" s="7" t="s">
        <v>317</v>
      </c>
      <c r="E132" s="7">
        <v>1433</v>
      </c>
      <c r="F132" s="7" t="s">
        <v>272</v>
      </c>
      <c r="G132" s="7" t="s">
        <v>318</v>
      </c>
    </row>
    <row r="133" spans="1:7">
      <c r="A133" s="7" t="s">
        <v>299</v>
      </c>
      <c r="B133" s="7" t="s">
        <v>316</v>
      </c>
      <c r="C133" s="7" t="s">
        <v>317</v>
      </c>
      <c r="E133" s="7">
        <v>1433</v>
      </c>
      <c r="F133" s="7" t="s">
        <v>272</v>
      </c>
      <c r="G133" s="7" t="s">
        <v>318</v>
      </c>
    </row>
  </sheetData>
  <autoFilter ref="A1:G133" xr:uid="{9DC9A9BA-73F9-4A3C-AE27-AC8C8D84BAA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6732-1C64-4677-8D23-76DBE6A481EE}">
  <dimension ref="A2:F17"/>
  <sheetViews>
    <sheetView topLeftCell="A2" workbookViewId="0">
      <selection activeCell="C7" sqref="C7"/>
    </sheetView>
  </sheetViews>
  <sheetFormatPr defaultRowHeight="15"/>
  <cols>
    <col min="1" max="1" width="15.42578125" customWidth="1"/>
    <col min="2" max="2" width="27.42578125" bestFit="1" customWidth="1"/>
    <col min="3" max="3" width="13.140625" bestFit="1" customWidth="1"/>
    <col min="4" max="4" width="3.28515625" bestFit="1" customWidth="1"/>
    <col min="5" max="5" width="12" bestFit="1" customWidth="1"/>
    <col min="6" max="6" width="11.7109375" bestFit="1" customWidth="1"/>
  </cols>
  <sheetData>
    <row r="2" spans="1:6">
      <c r="A2" s="40" t="s">
        <v>387</v>
      </c>
      <c r="C2" s="40" t="s">
        <v>9</v>
      </c>
    </row>
    <row r="3" spans="1:6">
      <c r="A3" s="40" t="s">
        <v>5</v>
      </c>
      <c r="B3" s="40" t="s">
        <v>10</v>
      </c>
      <c r="C3" t="s">
        <v>22</v>
      </c>
      <c r="D3" t="s">
        <v>39</v>
      </c>
      <c r="E3" t="s">
        <v>61</v>
      </c>
      <c r="F3" t="s">
        <v>388</v>
      </c>
    </row>
    <row r="4" spans="1:6">
      <c r="A4" t="s">
        <v>28</v>
      </c>
      <c r="B4" t="s">
        <v>40</v>
      </c>
      <c r="D4">
        <v>2</v>
      </c>
      <c r="F4">
        <v>2</v>
      </c>
    </row>
    <row r="5" spans="1:6">
      <c r="B5" t="s">
        <v>23</v>
      </c>
      <c r="C5">
        <v>3</v>
      </c>
      <c r="F5">
        <v>3</v>
      </c>
    </row>
    <row r="6" spans="1:6">
      <c r="A6" t="s">
        <v>389</v>
      </c>
      <c r="C6">
        <v>3</v>
      </c>
      <c r="D6">
        <v>2</v>
      </c>
      <c r="F6">
        <v>5</v>
      </c>
    </row>
    <row r="7" spans="1:6">
      <c r="A7" t="s">
        <v>18</v>
      </c>
      <c r="B7" t="s">
        <v>23</v>
      </c>
      <c r="C7">
        <v>12</v>
      </c>
      <c r="F7">
        <v>12</v>
      </c>
    </row>
    <row r="8" spans="1:6">
      <c r="B8" t="s">
        <v>62</v>
      </c>
      <c r="E8">
        <v>2</v>
      </c>
      <c r="F8">
        <v>2</v>
      </c>
    </row>
    <row r="9" spans="1:6">
      <c r="B9" t="s">
        <v>113</v>
      </c>
      <c r="D9">
        <v>1</v>
      </c>
      <c r="F9">
        <v>1</v>
      </c>
    </row>
    <row r="10" spans="1:6">
      <c r="B10" t="s">
        <v>121</v>
      </c>
      <c r="D10">
        <v>10</v>
      </c>
      <c r="F10">
        <v>10</v>
      </c>
    </row>
    <row r="11" spans="1:6">
      <c r="A11" t="s">
        <v>390</v>
      </c>
      <c r="C11">
        <v>12</v>
      </c>
      <c r="D11">
        <v>11</v>
      </c>
      <c r="E11">
        <v>2</v>
      </c>
      <c r="F11">
        <v>25</v>
      </c>
    </row>
    <row r="12" spans="1:6">
      <c r="A12" t="s">
        <v>44</v>
      </c>
      <c r="B12" t="s">
        <v>47</v>
      </c>
      <c r="D12">
        <v>1</v>
      </c>
      <c r="F12">
        <v>1</v>
      </c>
    </row>
    <row r="13" spans="1:6">
      <c r="A13" t="s">
        <v>391</v>
      </c>
      <c r="D13">
        <v>1</v>
      </c>
      <c r="F13">
        <v>1</v>
      </c>
    </row>
    <row r="14" spans="1:6">
      <c r="A14" t="s">
        <v>75</v>
      </c>
      <c r="B14" t="s">
        <v>40</v>
      </c>
      <c r="D14">
        <v>6</v>
      </c>
      <c r="F14">
        <v>6</v>
      </c>
    </row>
    <row r="15" spans="1:6">
      <c r="B15" t="s">
        <v>23</v>
      </c>
      <c r="C15">
        <v>1</v>
      </c>
      <c r="F15">
        <v>1</v>
      </c>
    </row>
    <row r="16" spans="1:6">
      <c r="A16" t="s">
        <v>392</v>
      </c>
      <c r="C16">
        <v>1</v>
      </c>
      <c r="D16">
        <v>6</v>
      </c>
      <c r="F16">
        <v>7</v>
      </c>
    </row>
    <row r="17" spans="1:6">
      <c r="A17" t="s">
        <v>388</v>
      </c>
      <c r="C17">
        <v>16</v>
      </c>
      <c r="D17">
        <v>20</v>
      </c>
      <c r="E17">
        <v>2</v>
      </c>
      <c r="F17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D720D22E865438DB552CF460984A5" ma:contentTypeVersion="3" ma:contentTypeDescription="Create a new document." ma:contentTypeScope="" ma:versionID="01bf4dbd16403aa29a9ff09a16929f22">
  <xsd:schema xmlns:xsd="http://www.w3.org/2001/XMLSchema" xmlns:xs="http://www.w3.org/2001/XMLSchema" xmlns:p="http://schemas.microsoft.com/office/2006/metadata/properties" xmlns:ns2="9da3a7f9-be6c-48dd-b329-e6c98e4400e3" targetNamespace="http://schemas.microsoft.com/office/2006/metadata/properties" ma:root="true" ma:fieldsID="6fba43983bf4b8f22d1426aa128e5baf" ns2:_="">
    <xsd:import namespace="9da3a7f9-be6c-48dd-b329-e6c98e44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3a7f9-be6c-48dd-b329-e6c98e4400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1760E4-3A94-4083-8044-0C76A32EDC5B}"/>
</file>

<file path=customXml/itemProps2.xml><?xml version="1.0" encoding="utf-8"?>
<ds:datastoreItem xmlns:ds="http://schemas.openxmlformats.org/officeDocument/2006/customXml" ds:itemID="{F6A6F497-D4BD-41A4-9427-452233C13F58}"/>
</file>

<file path=customXml/itemProps3.xml><?xml version="1.0" encoding="utf-8"?>
<ds:datastoreItem xmlns:ds="http://schemas.openxmlformats.org/officeDocument/2006/customXml" ds:itemID="{C2CB8445-21B5-4FFF-BB21-3A8454B3FEA2}"/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Navarro, Alberto (PA)</dc:creator>
  <cp:keywords/>
  <dc:description/>
  <cp:lastModifiedBy/>
  <cp:revision/>
  <dcterms:created xsi:type="dcterms:W3CDTF">2024-08-13T01:34:27Z</dcterms:created>
  <dcterms:modified xsi:type="dcterms:W3CDTF">2026-09-09T19:37:27Z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0x010100D90D720D22E865438DB552CF460984A5</vt:lpwstr>
  </property>
</Properties>
</file>