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29652e\projects\Assessment\Assessment\Ambiente Productivo\Lift-and-Shift - 18 Servers\"/>
    </mc:Choice>
  </mc:AlternateContent>
  <xr:revisionPtr revIDLastSave="0" documentId="13_ncr:2001_{912172C8-B3CE-4AA2-85A5-3A8A1CEB78D8}" xr6:coauthVersionLast="47" xr6:coauthVersionMax="47" xr10:uidLastSave="{00000000-0000-0000-0000-000000000000}"/>
  <bookViews>
    <workbookView xWindow="-120" yWindow="-120" windowWidth="38640" windowHeight="15720" activeTab="2" xr2:uid="{00000000-000D-0000-FFFF-FFFF00000000}"/>
  </bookViews>
  <sheets>
    <sheet name="Read Me" sheetId="1" r:id="rId1"/>
    <sheet name="Glossary" sheetId="2" r:id="rId2"/>
    <sheet name="Shared Tenancy Analysis" sheetId="3" r:id="rId3"/>
  </sheets>
  <definedNames>
    <definedName name="_xlnm._FilterDatabase" localSheetId="2" hidden="1">'Shared Tenancy Analysis'!$A$1:$AB$24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3" i="3" l="1"/>
  <c r="X13" i="3"/>
  <c r="T13" i="3"/>
  <c r="P13" i="3"/>
  <c r="T20" i="3"/>
  <c r="T21" i="3"/>
  <c r="T22" i="3"/>
  <c r="T23" i="3"/>
  <c r="T24" i="3"/>
  <c r="T19" i="3"/>
  <c r="P19" i="3"/>
  <c r="AA18" i="3"/>
  <c r="X18" i="3"/>
  <c r="T18" i="3"/>
  <c r="P18" i="3"/>
  <c r="T17" i="3"/>
  <c r="Z16" i="3"/>
  <c r="X16" i="3"/>
  <c r="T16" i="3"/>
  <c r="P16" i="3"/>
  <c r="Z15" i="3"/>
  <c r="X15" i="3"/>
  <c r="T15" i="3"/>
  <c r="P15" i="3"/>
  <c r="AA14" i="3"/>
  <c r="X14" i="3"/>
  <c r="T14" i="3"/>
  <c r="P14" i="3"/>
  <c r="AA12" i="3"/>
  <c r="X12" i="3"/>
  <c r="T12" i="3"/>
  <c r="P12" i="3"/>
  <c r="AA11" i="3"/>
  <c r="X11" i="3"/>
  <c r="T11" i="3"/>
  <c r="P11" i="3"/>
  <c r="AA10" i="3"/>
  <c r="X10" i="3"/>
  <c r="T10" i="3"/>
  <c r="P10" i="3"/>
  <c r="AA9" i="3"/>
  <c r="X9" i="3"/>
  <c r="T9" i="3"/>
  <c r="P9" i="3"/>
  <c r="AA8" i="3"/>
  <c r="X8" i="3"/>
  <c r="T8" i="3"/>
  <c r="P8" i="3"/>
  <c r="AA7" i="3"/>
  <c r="X7" i="3"/>
  <c r="T7" i="3"/>
  <c r="P7" i="3"/>
  <c r="AA6" i="3"/>
  <c r="X6" i="3"/>
  <c r="T6" i="3"/>
  <c r="R6" i="3"/>
  <c r="P6" i="3"/>
  <c r="AA5" i="3"/>
  <c r="X5" i="3"/>
  <c r="T5" i="3"/>
  <c r="P5" i="3"/>
  <c r="AA4" i="3"/>
  <c r="X4" i="3"/>
  <c r="T4" i="3"/>
  <c r="P4" i="3"/>
  <c r="AA3" i="3"/>
  <c r="X3" i="3"/>
  <c r="T3" i="3"/>
  <c r="P3" i="3"/>
  <c r="AA2" i="3"/>
  <c r="X2" i="3"/>
  <c r="T2" i="3"/>
  <c r="P2" i="3"/>
</calcChain>
</file>

<file path=xl/sharedStrings.xml><?xml version="1.0" encoding="utf-8"?>
<sst xmlns="http://schemas.openxmlformats.org/spreadsheetml/2006/main" count="255" uniqueCount="127">
  <si>
    <t>Host Name Onpremise</t>
  </si>
  <si>
    <t>EC2 Name</t>
  </si>
  <si>
    <t>Enviroment</t>
  </si>
  <si>
    <t>Number of CPUs</t>
  </si>
  <si>
    <t>RAM (GB)</t>
  </si>
  <si>
    <t>Operation System Type</t>
  </si>
  <si>
    <t>Operation System Name</t>
  </si>
  <si>
    <t>AWS Instance Recommended</t>
  </si>
  <si>
    <t>AWS Instance Deploy</t>
  </si>
  <si>
    <t>AWS Total Cores</t>
  </si>
  <si>
    <t>AWS RAM (GB)</t>
  </si>
  <si>
    <t>EBS Size (GB)</t>
  </si>
  <si>
    <t>EBS Additional Size (GB)</t>
  </si>
  <si>
    <t>AWS Region</t>
  </si>
  <si>
    <t>Monthly Root EBS Cost</t>
  </si>
  <si>
    <t>Annualized 1 Yr EBS Cost</t>
  </si>
  <si>
    <t>Monthly Additional EBS Cost</t>
  </si>
  <si>
    <t>Annualized 1 Yr Additional EBS Cost</t>
  </si>
  <si>
    <t>Monthly  On-Demand Total EC2 - RDS Cost</t>
  </si>
  <si>
    <t>Annualized On-Demand Total EC2 - RDS Cost</t>
  </si>
  <si>
    <t>Annualized License Only Cost</t>
  </si>
  <si>
    <t>Annualized On-Demand EC2 Cost Excl. License Cost</t>
  </si>
  <si>
    <t>Monthly 1 Yr NURI  Standard Reserved Instances Total EC2 - RDS Cost</t>
  </si>
  <si>
    <t>Annualized 1 Yr NURI Total EC2 - RDS Cost</t>
  </si>
  <si>
    <t>Annualized 1 Yr NURI EC2 Cost, Excl. License Costs</t>
  </si>
  <si>
    <t>Monthly 3 Yr NURI  Standard Reserved Instances Total EC2 - RDS Cost</t>
  </si>
  <si>
    <t>Annualized 3 Yr NURI Total EC2 Cost</t>
  </si>
  <si>
    <t>Annualized 3 Yr NURI EC2 Cost Excl. License Cost</t>
  </si>
  <si>
    <t>PAHWPAPSTS01</t>
  </si>
  <si>
    <t>PROD</t>
  </si>
  <si>
    <t>RHEL</t>
  </si>
  <si>
    <t>Red Hat Enterprise Linux 8 (64-bit)</t>
  </si>
  <si>
    <t>r5a.large</t>
  </si>
  <si>
    <t>US East (N. Virginia)</t>
  </si>
  <si>
    <t>PAHWPAPSTE01</t>
  </si>
  <si>
    <t>PAHWPAPSRC03</t>
  </si>
  <si>
    <t>Windows</t>
  </si>
  <si>
    <t>Microsoft Windows Server 2025 (64-bit)</t>
  </si>
  <si>
    <t>PAHWPAPWFC01</t>
  </si>
  <si>
    <t>r7a.medium</t>
  </si>
  <si>
    <t>PAHWPWFINT01</t>
  </si>
  <si>
    <t>USAEA1PFSWES09</t>
  </si>
  <si>
    <t>PAHWPWSAPI01</t>
  </si>
  <si>
    <t>PAHWPAPWSS03</t>
  </si>
  <si>
    <t>PAHWPAPWEF02</t>
  </si>
  <si>
    <t>USAEA1PAPWES34</t>
  </si>
  <si>
    <t>PAHWPAPTUI03</t>
  </si>
  <si>
    <t>Microsoft Windows Server 2025 (64-bit) [ASG app1 desplegado]</t>
  </si>
  <si>
    <t>PAHWPCHECS01</t>
  </si>
  <si>
    <t>USAEA1PFSWES08</t>
  </si>
  <si>
    <t>pahqpapapp02</t>
  </si>
  <si>
    <t>Windows Server 2025 Standard</t>
  </si>
  <si>
    <t>pahwpapbof01</t>
  </si>
  <si>
    <t>Linux</t>
  </si>
  <si>
    <t>Ubuntu 22.04.3 LTS TBD</t>
  </si>
  <si>
    <t>c5a.large</t>
  </si>
  <si>
    <t>RDS produccion (multiaz1)</t>
  </si>
  <si>
    <t>SQL Server - Standard</t>
  </si>
  <si>
    <t>SQL Server Standard Edition 15.x (Multi-AZ, license-included)</t>
  </si>
  <si>
    <t>db.r6i.4xlarge</t>
  </si>
  <si>
    <t>NA</t>
  </si>
  <si>
    <t>RDS procesos (standalone1)</t>
  </si>
  <si>
    <t>SQL Server Standard Edition 15.x (Single-AZ, license-included)</t>
  </si>
  <si>
    <t>db.r6i.2xlarge</t>
  </si>
  <si>
    <t>FSx Windows (intelisrcpa-prd)</t>
  </si>
  <si>
    <t>Windows (FSx)</t>
  </si>
  <si>
    <t>FSx Windows File Server Single-AZ SSD (64 MBps, backup 30d)</t>
  </si>
  <si>
    <t>FSx SINGLE_AZ_1</t>
  </si>
  <si>
    <t>AMI Builder (temporal)</t>
  </si>
  <si>
    <t>Microsoft Windows Server 2025 (AMI Builder - temporal)</t>
  </si>
  <si>
    <t>m5.large</t>
  </si>
  <si>
    <t>DMS replication</t>
  </si>
  <si>
    <t>DMS</t>
  </si>
  <si>
    <t>DMS c5.2xlarge Single-AZ (engine 3.6.1)</t>
  </si>
  <si>
    <t>dms.c5.2xlarge</t>
  </si>
  <si>
    <t>Application Load Balancer (eec-aws-us-eits-prod)</t>
  </si>
  <si>
    <t>Servicio</t>
  </si>
  <si>
    <t>ALB internal (4 TG/host-header)</t>
  </si>
  <si>
    <t>-</t>
  </si>
  <si>
    <t>ASG Lifecycle (Lambda leave-domain)</t>
  </si>
  <si>
    <t>Lambda py3.12 128MB + EventBridge + CW Logs</t>
  </si>
  <si>
    <t>S3 (rds-backup + rds-ssis + backup-reports)</t>
  </si>
  <si>
    <t>3 buckets Standard</t>
  </si>
  <si>
    <t>Secrets Manager (AD/DMS credentials)</t>
  </si>
  <si>
    <t>5 secrets</t>
  </si>
  <si>
    <t>CloudWatch (alarmas ALB/ASG + metricas)</t>
  </si>
  <si>
    <t>8 alarmas</t>
  </si>
  <si>
    <t>This file contains an export of AWS Transform Assessment results for Production Environment (InteliSrcPA).</t>
  </si>
  <si>
    <t>Sheet</t>
  </si>
  <si>
    <t>Description</t>
  </si>
  <si>
    <t>Glossary</t>
  </si>
  <si>
    <t>Column-by-column definitions and descriptions for all data fields.</t>
  </si>
  <si>
    <t>Shared Tenancy Analysis</t>
  </si>
  <si>
    <t>Lists servers that can run on shared hardware infrastructure in AWS.</t>
  </si>
  <si>
    <t>Attribute Name</t>
  </si>
  <si>
    <t>Name assigned to the server on-premise</t>
  </si>
  <si>
    <t>Name for the EC2 instance in AWS</t>
  </si>
  <si>
    <t>Environment</t>
  </si>
  <si>
    <t>Production/Development/Test environment designation</t>
  </si>
  <si>
    <t>Count of virtual processors</t>
  </si>
  <si>
    <t>Total memory capacity in gigabytes</t>
  </si>
  <si>
    <t>Category of operating system</t>
  </si>
  <si>
    <t>Specific OS version/distribution</t>
  </si>
  <si>
    <t>Recommended AWS instance type by assessment tool</t>
  </si>
  <si>
    <t>Instance type to be deployed</t>
  </si>
  <si>
    <t>Total cores in recommended EC2 instance</t>
  </si>
  <si>
    <t>Memory in recommended instance in GB</t>
  </si>
  <si>
    <t>Root volume EBS storage size in GB</t>
  </si>
  <si>
    <t>EBS Size (GB) Additional</t>
  </si>
  <si>
    <t>Additional EBS volumes in GB</t>
  </si>
  <si>
    <t>Target AWS geographic region</t>
  </si>
  <si>
    <t>Yearly EBS storage cost</t>
  </si>
  <si>
    <t>Yearly total cost using on-demand pricing</t>
  </si>
  <si>
    <t>Yearly licensing costs</t>
  </si>
  <si>
    <t>Yearly compute costs at on-demand rates</t>
  </si>
  <si>
    <t>Total yearly cost with 1-year RI no upfront</t>
  </si>
  <si>
    <t>Compute-only yearly cost with 1-year RI</t>
  </si>
  <si>
    <t>Total yearly cost with 3-year RI no upfront</t>
  </si>
  <si>
    <t>Compute-only yearly cost with 3-year RI</t>
  </si>
  <si>
    <t>USAEA1PWBWESPA1-5</t>
  </si>
  <si>
    <t>USAEA1PWBWESPB1-5</t>
  </si>
  <si>
    <t>USAEA1PWBWESPC1-5</t>
  </si>
  <si>
    <t>USAEA1PWBWESPD1-5</t>
  </si>
  <si>
    <t>USAEA1PWBWESPE1-5</t>
  </si>
  <si>
    <t>USAEA1PWBWESPF1-5</t>
  </si>
  <si>
    <t>USAEA1PWBWESPG1-5</t>
  </si>
  <si>
    <t>PAHWPFSASC01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</si>
</sst>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scheme val="minor"/>
    </font>
    <font>
      <sz val="11"/>
      <color theme="1"/>
      <name val="Calibri"/>
      <scheme val="minor"/>
    </font>
    <font>
      <b/>
      <sz val="12"/>
      <color theme="0"/>
      <name val="Amazon Ember"/>
    </font>
    <font>
      <sz val="12"/>
      <color theme="1"/>
      <name val="Amazon Ember"/>
    </font>
  </fonts>
  <fills count="7">
    <fill>
      <patternFill patternType="none"/>
    </fill>
    <fill>
      <patternFill patternType="gray125"/>
    </fill>
    <fill>
      <patternFill patternType="solid">
        <fgColor rgb="FF7030A0"/>
        <bgColor rgb="FF7030A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theme="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1"/>
  </cellStyleXfs>
  <cellXfs count="16">
    <xf numFmtId="0" fontId="0" fillId="0" borderId="0" xfId="0" applyBorder="1"/>
    <xf numFmtId="0" fontId="1" fillId="0" borderId="0" xfId="0" applyFont="1" applyBorder="1"/>
    <xf numFmtId="0" fontId="1" fillId="0" borderId="1" xfId="0" applyFont="1"/>
    <xf numFmtId="0" fontId="2" fillId="2" borderId="2" xfId="0" applyFont="1" applyFill="1" applyBorder="1"/>
    <xf numFmtId="0" fontId="0" fillId="0" borderId="1" xfId="0"/>
    <xf numFmtId="0" fontId="2" fillId="2" borderId="2" xfId="0" applyFont="1" applyFill="1" applyBorder="1" applyAlignment="1">
      <alignment horizontal="center"/>
    </xf>
    <xf numFmtId="0" fontId="3" fillId="3" borderId="2" xfId="0" applyFont="1" applyFill="1" applyBorder="1"/>
    <xf numFmtId="0" fontId="3" fillId="4" borderId="2" xfId="0" applyFont="1" applyFill="1" applyBorder="1"/>
    <xf numFmtId="0" fontId="3" fillId="3" borderId="2" xfId="0" applyFont="1" applyFill="1" applyBorder="1" applyAlignment="1">
      <alignment wrapText="1"/>
    </xf>
    <xf numFmtId="0" fontId="3" fillId="0" borderId="2" xfId="0" applyFont="1" applyBorder="1"/>
    <xf numFmtId="0" fontId="3" fillId="0" borderId="2" xfId="0" applyFont="1" applyBorder="1" applyAlignment="1">
      <alignment wrapText="1"/>
    </xf>
    <xf numFmtId="0" fontId="3" fillId="5" borderId="2" xfId="0" applyFont="1" applyFill="1" applyBorder="1"/>
    <xf numFmtId="0" fontId="1" fillId="6" borderId="1" xfId="0" applyFont="1" applyFill="1"/>
    <xf numFmtId="0" fontId="0" fillId="6" borderId="0" xfId="0" applyFill="1" applyBorder="1"/>
    <xf numFmtId="0" fontId="3" fillId="6" borderId="2" xfId="0" applyFont="1" applyFill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00"/>
  <sheetViews>
    <sheetView workbookViewId="0"/>
  </sheetViews>
  <sheetFormatPr baseColWidth="10" defaultColWidth="14.42578125" defaultRowHeight="15" customHeight="1"/>
  <cols>
    <col min="1" max="26" width="8.7109375" customWidth="1"/>
  </cols>
  <sheetData>
    <row r="1" spans="1:2">
      <c r="A1" s="1" t="s">
        <v>87</v>
      </c>
    </row>
    <row r="3" spans="1:2">
      <c r="A3" s="1" t="s">
        <v>88</v>
      </c>
      <c r="B3" s="1" t="s">
        <v>89</v>
      </c>
    </row>
    <row r="4" spans="1:2">
      <c r="A4" s="1" t="s">
        <v>90</v>
      </c>
      <c r="B4" s="1" t="s">
        <v>91</v>
      </c>
    </row>
    <row r="5" spans="1:2">
      <c r="A5" s="1" t="s">
        <v>92</v>
      </c>
      <c r="B5" s="1" t="s">
        <v>93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00"/>
  <sheetViews>
    <sheetView workbookViewId="0"/>
  </sheetViews>
  <sheetFormatPr baseColWidth="10" defaultColWidth="14.42578125" defaultRowHeight="15" customHeight="1"/>
  <cols>
    <col min="1" max="26" width="8.7109375" customWidth="1"/>
  </cols>
  <sheetData>
    <row r="1" spans="1:2">
      <c r="A1" s="1" t="s">
        <v>94</v>
      </c>
      <c r="B1" s="1" t="s">
        <v>89</v>
      </c>
    </row>
    <row r="2" spans="1:2">
      <c r="A2" s="1" t="s">
        <v>92</v>
      </c>
    </row>
    <row r="3" spans="1:2">
      <c r="A3" s="1" t="s">
        <v>0</v>
      </c>
      <c r="B3" s="1" t="s">
        <v>95</v>
      </c>
    </row>
    <row r="4" spans="1:2">
      <c r="A4" s="1" t="s">
        <v>1</v>
      </c>
      <c r="B4" s="1" t="s">
        <v>96</v>
      </c>
    </row>
    <row r="5" spans="1:2">
      <c r="A5" s="1" t="s">
        <v>97</v>
      </c>
      <c r="B5" s="1" t="s">
        <v>98</v>
      </c>
    </row>
    <row r="6" spans="1:2">
      <c r="A6" s="1" t="s">
        <v>3</v>
      </c>
      <c r="B6" s="1" t="s">
        <v>99</v>
      </c>
    </row>
    <row r="7" spans="1:2">
      <c r="A7" s="1" t="s">
        <v>4</v>
      </c>
      <c r="B7" s="1" t="s">
        <v>100</v>
      </c>
    </row>
    <row r="8" spans="1:2">
      <c r="A8" s="1" t="s">
        <v>5</v>
      </c>
      <c r="B8" s="1" t="s">
        <v>101</v>
      </c>
    </row>
    <row r="9" spans="1:2">
      <c r="A9" s="1" t="s">
        <v>6</v>
      </c>
      <c r="B9" s="1" t="s">
        <v>102</v>
      </c>
    </row>
    <row r="10" spans="1:2">
      <c r="A10" s="1" t="s">
        <v>7</v>
      </c>
      <c r="B10" s="1" t="s">
        <v>103</v>
      </c>
    </row>
    <row r="11" spans="1:2">
      <c r="A11" s="1" t="s">
        <v>8</v>
      </c>
      <c r="B11" s="1" t="s">
        <v>104</v>
      </c>
    </row>
    <row r="12" spans="1:2">
      <c r="A12" s="1" t="s">
        <v>9</v>
      </c>
      <c r="B12" s="1" t="s">
        <v>105</v>
      </c>
    </row>
    <row r="13" spans="1:2">
      <c r="A13" s="1" t="s">
        <v>10</v>
      </c>
      <c r="B13" s="1" t="s">
        <v>106</v>
      </c>
    </row>
    <row r="14" spans="1:2">
      <c r="A14" s="1" t="s">
        <v>11</v>
      </c>
      <c r="B14" s="1" t="s">
        <v>107</v>
      </c>
    </row>
    <row r="15" spans="1:2">
      <c r="A15" s="1" t="s">
        <v>108</v>
      </c>
      <c r="B15" s="1" t="s">
        <v>109</v>
      </c>
    </row>
    <row r="16" spans="1:2">
      <c r="A16" s="1" t="s">
        <v>13</v>
      </c>
      <c r="B16" s="1" t="s">
        <v>110</v>
      </c>
    </row>
    <row r="17" spans="1:2">
      <c r="A17" s="1" t="s">
        <v>15</v>
      </c>
      <c r="B17" s="1" t="s">
        <v>111</v>
      </c>
    </row>
    <row r="18" spans="1:2">
      <c r="A18" s="1" t="s">
        <v>19</v>
      </c>
      <c r="B18" s="1" t="s">
        <v>112</v>
      </c>
    </row>
    <row r="19" spans="1:2">
      <c r="A19" s="1" t="s">
        <v>20</v>
      </c>
      <c r="B19" s="1" t="s">
        <v>113</v>
      </c>
    </row>
    <row r="20" spans="1:2">
      <c r="A20" s="1" t="s">
        <v>21</v>
      </c>
      <c r="B20" s="1" t="s">
        <v>114</v>
      </c>
    </row>
    <row r="21" spans="1:2" ht="15.75" customHeight="1">
      <c r="A21" s="1" t="s">
        <v>23</v>
      </c>
      <c r="B21" s="1" t="s">
        <v>115</v>
      </c>
    </row>
    <row r="22" spans="1:2" ht="15.75" customHeight="1">
      <c r="A22" s="1" t="s">
        <v>24</v>
      </c>
      <c r="B22" s="1" t="s">
        <v>116</v>
      </c>
    </row>
    <row r="23" spans="1:2" ht="15.75" customHeight="1">
      <c r="A23" s="1" t="s">
        <v>26</v>
      </c>
      <c r="B23" s="1" t="s">
        <v>117</v>
      </c>
    </row>
    <row r="24" spans="1:2" ht="15.75" customHeight="1">
      <c r="A24" s="1" t="s">
        <v>27</v>
      </c>
      <c r="B24" s="1" t="s">
        <v>118</v>
      </c>
    </row>
    <row r="25" spans="1:2" ht="15.75" customHeight="1"/>
    <row r="26" spans="1:2" ht="15.75" customHeight="1"/>
    <row r="27" spans="1:2" ht="15.75" customHeight="1"/>
    <row r="28" spans="1:2" ht="15.75" customHeight="1"/>
    <row r="29" spans="1:2" ht="15.75" customHeight="1"/>
    <row r="30" spans="1:2" ht="15.75" customHeight="1"/>
    <row r="31" spans="1:2" ht="15.75" customHeight="1"/>
    <row r="32" spans="1: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1000"/>
  <sheetViews>
    <sheetView tabSelected="1" workbookViewId="0">
      <selection activeCell="L9" sqref="L9"/>
    </sheetView>
  </sheetViews>
  <sheetFormatPr baseColWidth="10" defaultColWidth="14.42578125" defaultRowHeight="15" customHeight="1"/>
  <cols>
    <col min="1" max="1" width="51.5703125" bestFit="1" customWidth="1"/>
    <col min="2" max="2" width="48.5703125" bestFit="1" customWidth="1"/>
    <col min="3" max="3" width="12" customWidth="1"/>
    <col min="4" max="4" width="16" customWidth="1"/>
    <col min="5" max="5" width="10" customWidth="1"/>
    <col min="6" max="6" width="27.140625" bestFit="1" customWidth="1"/>
    <col min="7" max="7" width="67.5703125" bestFit="1" customWidth="1"/>
    <col min="8" max="8" width="34.140625" bestFit="1" customWidth="1"/>
    <col min="9" max="9" width="25" bestFit="1" customWidth="1"/>
    <col min="10" max="10" width="19.85546875" bestFit="1" customWidth="1"/>
    <col min="11" max="11" width="17.85546875" bestFit="1" customWidth="1"/>
    <col min="12" max="12" width="17" bestFit="1" customWidth="1"/>
    <col min="13" max="13" width="28.85546875" bestFit="1" customWidth="1"/>
    <col min="14" max="14" width="23" customWidth="1"/>
    <col min="15" max="15" width="27.42578125" style="4" bestFit="1" customWidth="1"/>
    <col min="16" max="16" width="26" customWidth="1"/>
    <col min="17" max="17" width="33.28515625" style="4" bestFit="1" customWidth="1"/>
    <col min="18" max="18" width="41.7109375" bestFit="1" customWidth="1"/>
    <col min="19" max="19" width="48.85546875" style="4" bestFit="1" customWidth="1"/>
    <col min="20" max="20" width="51.85546875" bestFit="1" customWidth="1"/>
    <col min="21" max="21" width="30" hidden="1" customWidth="1"/>
    <col min="22" max="22" width="40" hidden="1" customWidth="1"/>
    <col min="23" max="23" width="79.85546875" style="4" bestFit="1" customWidth="1"/>
    <col min="24" max="24" width="40" customWidth="1"/>
    <col min="25" max="25" width="40" hidden="1" customWidth="1"/>
    <col min="26" max="26" width="79.85546875" style="4" bestFit="1" customWidth="1"/>
    <col min="27" max="27" width="37" customWidth="1"/>
    <col min="28" max="28" width="40" hidden="1" customWidth="1"/>
    <col min="29" max="32" width="8.7109375" customWidth="1"/>
  </cols>
  <sheetData>
    <row r="1" spans="1:28" s="4" customFormat="1" ht="15.75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4" t="s">
        <v>24</v>
      </c>
      <c r="Z1" s="3" t="s">
        <v>25</v>
      </c>
      <c r="AA1" s="3" t="s">
        <v>26</v>
      </c>
      <c r="AB1" s="4" t="s">
        <v>27</v>
      </c>
    </row>
    <row r="2" spans="1:28" s="13" customFormat="1" ht="15.75" customHeight="1">
      <c r="A2" s="11" t="s">
        <v>28</v>
      </c>
      <c r="B2" s="11"/>
      <c r="C2" s="11" t="s">
        <v>29</v>
      </c>
      <c r="D2" s="11">
        <v>4</v>
      </c>
      <c r="E2" s="11">
        <v>16</v>
      </c>
      <c r="F2" s="11" t="s">
        <v>30</v>
      </c>
      <c r="G2" s="11" t="s">
        <v>31</v>
      </c>
      <c r="H2" s="11" t="s">
        <v>32</v>
      </c>
      <c r="I2" s="11" t="s">
        <v>32</v>
      </c>
      <c r="J2" s="11">
        <v>2</v>
      </c>
      <c r="K2" s="11">
        <v>16</v>
      </c>
      <c r="L2" s="11">
        <v>520</v>
      </c>
      <c r="M2" s="11"/>
      <c r="N2" s="11" t="s">
        <v>33</v>
      </c>
      <c r="O2" s="11">
        <v>41.6</v>
      </c>
      <c r="P2" s="11">
        <f t="shared" ref="P2:P16" si="0">PRODUCT(O2,12)</f>
        <v>499.20000000000005</v>
      </c>
      <c r="Q2" s="11"/>
      <c r="R2" s="11"/>
      <c r="S2" s="11">
        <v>104</v>
      </c>
      <c r="T2" s="11">
        <f t="shared" ref="T2:T24" si="1">PRODUCT(S2,12)</f>
        <v>1248</v>
      </c>
      <c r="U2" s="11">
        <v>0</v>
      </c>
      <c r="V2" s="11">
        <v>1244</v>
      </c>
      <c r="W2" s="11">
        <v>73</v>
      </c>
      <c r="X2" s="11">
        <f t="shared" ref="X2:X16" si="2">PRODUCT(W2,12)</f>
        <v>876</v>
      </c>
      <c r="Y2" s="11">
        <v>876</v>
      </c>
      <c r="Z2" s="11">
        <v>57</v>
      </c>
      <c r="AA2" s="11">
        <f t="shared" ref="AA2:AA14" si="3">PRODUCT(Z2,12)</f>
        <v>684</v>
      </c>
      <c r="AB2" s="12">
        <v>683</v>
      </c>
    </row>
    <row r="3" spans="1:28" s="13" customFormat="1" ht="15.75" customHeight="1">
      <c r="A3" s="11" t="s">
        <v>34</v>
      </c>
      <c r="B3" s="11"/>
      <c r="C3" s="11" t="s">
        <v>29</v>
      </c>
      <c r="D3" s="11">
        <v>4</v>
      </c>
      <c r="E3" s="11">
        <v>16</v>
      </c>
      <c r="F3" s="11" t="s">
        <v>30</v>
      </c>
      <c r="G3" s="11" t="s">
        <v>31</v>
      </c>
      <c r="H3" s="11" t="s">
        <v>32</v>
      </c>
      <c r="I3" s="11" t="s">
        <v>32</v>
      </c>
      <c r="J3" s="11">
        <v>2</v>
      </c>
      <c r="K3" s="11">
        <v>16</v>
      </c>
      <c r="L3" s="11">
        <v>210</v>
      </c>
      <c r="M3" s="11"/>
      <c r="N3" s="11" t="s">
        <v>33</v>
      </c>
      <c r="O3" s="11">
        <v>16.8</v>
      </c>
      <c r="P3" s="11">
        <f t="shared" si="0"/>
        <v>201.60000000000002</v>
      </c>
      <c r="Q3" s="11"/>
      <c r="R3" s="11"/>
      <c r="S3" s="11">
        <v>104</v>
      </c>
      <c r="T3" s="11">
        <f t="shared" si="1"/>
        <v>1248</v>
      </c>
      <c r="U3" s="11">
        <v>0</v>
      </c>
      <c r="V3" s="11">
        <v>1244</v>
      </c>
      <c r="W3" s="11">
        <v>73</v>
      </c>
      <c r="X3" s="11">
        <f t="shared" si="2"/>
        <v>876</v>
      </c>
      <c r="Y3" s="11">
        <v>876</v>
      </c>
      <c r="Z3" s="11">
        <v>57</v>
      </c>
      <c r="AA3" s="11">
        <f t="shared" si="3"/>
        <v>684</v>
      </c>
      <c r="AB3" s="12">
        <v>683</v>
      </c>
    </row>
    <row r="4" spans="1:28" ht="30" customHeight="1">
      <c r="A4" s="6" t="s">
        <v>35</v>
      </c>
      <c r="B4" s="8" t="s">
        <v>120</v>
      </c>
      <c r="C4" s="6" t="s">
        <v>29</v>
      </c>
      <c r="D4" s="6">
        <v>4</v>
      </c>
      <c r="E4" s="6">
        <v>16</v>
      </c>
      <c r="F4" s="6" t="s">
        <v>36</v>
      </c>
      <c r="G4" s="6" t="s">
        <v>37</v>
      </c>
      <c r="H4" s="6" t="s">
        <v>32</v>
      </c>
      <c r="I4" s="6" t="s">
        <v>32</v>
      </c>
      <c r="J4" s="6">
        <v>2</v>
      </c>
      <c r="K4" s="6">
        <v>16</v>
      </c>
      <c r="L4" s="6">
        <v>120</v>
      </c>
      <c r="M4" s="6"/>
      <c r="N4" s="6" t="s">
        <v>33</v>
      </c>
      <c r="O4" s="6">
        <v>9.6</v>
      </c>
      <c r="P4" s="6">
        <f t="shared" si="0"/>
        <v>115.19999999999999</v>
      </c>
      <c r="Q4" s="6"/>
      <c r="R4" s="6"/>
      <c r="S4" s="6">
        <v>149.65</v>
      </c>
      <c r="T4" s="6">
        <f t="shared" si="1"/>
        <v>1795.8000000000002</v>
      </c>
      <c r="U4" s="6">
        <v>806</v>
      </c>
      <c r="V4" s="6">
        <v>990</v>
      </c>
      <c r="W4" s="6">
        <v>118.99</v>
      </c>
      <c r="X4" s="6">
        <f t="shared" si="2"/>
        <v>1427.8799999999999</v>
      </c>
      <c r="Y4" s="6">
        <v>622</v>
      </c>
      <c r="Z4" s="6">
        <v>102.93</v>
      </c>
      <c r="AA4" s="6">
        <f t="shared" si="3"/>
        <v>1235.1600000000001</v>
      </c>
      <c r="AB4" s="2">
        <v>569</v>
      </c>
    </row>
    <row r="5" spans="1:28" ht="30" customHeight="1">
      <c r="A5" s="9" t="s">
        <v>38</v>
      </c>
      <c r="B5" s="10" t="s">
        <v>121</v>
      </c>
      <c r="C5" s="9" t="s">
        <v>29</v>
      </c>
      <c r="D5" s="9">
        <v>4</v>
      </c>
      <c r="E5" s="9">
        <v>8</v>
      </c>
      <c r="F5" s="9" t="s">
        <v>36</v>
      </c>
      <c r="G5" s="9" t="s">
        <v>37</v>
      </c>
      <c r="H5" s="9" t="s">
        <v>39</v>
      </c>
      <c r="I5" s="9" t="s">
        <v>39</v>
      </c>
      <c r="J5" s="9">
        <v>1</v>
      </c>
      <c r="K5" s="9">
        <v>8</v>
      </c>
      <c r="L5" s="9">
        <v>100</v>
      </c>
      <c r="M5" s="9"/>
      <c r="N5" s="9" t="s">
        <v>33</v>
      </c>
      <c r="O5" s="9">
        <v>8</v>
      </c>
      <c r="P5" s="9">
        <f t="shared" si="0"/>
        <v>96</v>
      </c>
      <c r="Q5" s="9"/>
      <c r="R5" s="9"/>
      <c r="S5" s="9">
        <v>89.12</v>
      </c>
      <c r="T5" s="9">
        <f t="shared" si="1"/>
        <v>1069.44</v>
      </c>
      <c r="U5" s="9">
        <v>403</v>
      </c>
      <c r="V5" s="9">
        <v>666</v>
      </c>
      <c r="W5" s="9">
        <v>70.31</v>
      </c>
      <c r="X5" s="9">
        <f t="shared" si="2"/>
        <v>843.72</v>
      </c>
      <c r="Y5" s="9">
        <v>441</v>
      </c>
      <c r="Z5" s="9">
        <v>58.77</v>
      </c>
      <c r="AA5" s="9">
        <f t="shared" si="3"/>
        <v>705.24</v>
      </c>
      <c r="AB5" s="2">
        <v>302</v>
      </c>
    </row>
    <row r="6" spans="1:28" ht="15.75" customHeight="1">
      <c r="A6" s="6" t="s">
        <v>40</v>
      </c>
      <c r="B6" s="6" t="s">
        <v>41</v>
      </c>
      <c r="C6" s="6" t="s">
        <v>29</v>
      </c>
      <c r="D6" s="6">
        <v>4</v>
      </c>
      <c r="E6" s="6">
        <v>8</v>
      </c>
      <c r="F6" s="6" t="s">
        <v>36</v>
      </c>
      <c r="G6" s="6" t="s">
        <v>37</v>
      </c>
      <c r="H6" s="6" t="s">
        <v>39</v>
      </c>
      <c r="I6" s="6" t="s">
        <v>39</v>
      </c>
      <c r="J6" s="6">
        <v>1</v>
      </c>
      <c r="K6" s="6">
        <v>8</v>
      </c>
      <c r="L6" s="6">
        <v>100</v>
      </c>
      <c r="M6" s="6">
        <v>300</v>
      </c>
      <c r="N6" s="6" t="s">
        <v>33</v>
      </c>
      <c r="O6" s="6">
        <v>8</v>
      </c>
      <c r="P6" s="6">
        <f t="shared" si="0"/>
        <v>96</v>
      </c>
      <c r="Q6" s="6">
        <v>24</v>
      </c>
      <c r="R6" s="6">
        <f>PRODUCT(Q6,12)</f>
        <v>288</v>
      </c>
      <c r="S6" s="6">
        <v>89.12</v>
      </c>
      <c r="T6" s="6">
        <f t="shared" si="1"/>
        <v>1069.44</v>
      </c>
      <c r="U6" s="6">
        <v>403</v>
      </c>
      <c r="V6" s="6">
        <v>666</v>
      </c>
      <c r="W6" s="6">
        <v>70.31</v>
      </c>
      <c r="X6" s="6">
        <f t="shared" si="2"/>
        <v>843.72</v>
      </c>
      <c r="Y6" s="6">
        <v>441</v>
      </c>
      <c r="Z6" s="6">
        <v>58.77</v>
      </c>
      <c r="AA6" s="6">
        <f t="shared" si="3"/>
        <v>705.24</v>
      </c>
      <c r="AB6" s="2">
        <v>302</v>
      </c>
    </row>
    <row r="7" spans="1:28" ht="15.75" customHeight="1">
      <c r="A7" s="9" t="s">
        <v>42</v>
      </c>
      <c r="B7" s="9" t="s">
        <v>123</v>
      </c>
      <c r="C7" s="9" t="s">
        <v>29</v>
      </c>
      <c r="D7" s="9">
        <v>4</v>
      </c>
      <c r="E7" s="9">
        <v>16</v>
      </c>
      <c r="F7" s="9" t="s">
        <v>36</v>
      </c>
      <c r="G7" s="9" t="s">
        <v>37</v>
      </c>
      <c r="H7" s="9" t="s">
        <v>32</v>
      </c>
      <c r="I7" s="9" t="s">
        <v>32</v>
      </c>
      <c r="J7" s="9">
        <v>2</v>
      </c>
      <c r="K7" s="9">
        <v>16</v>
      </c>
      <c r="L7" s="9">
        <v>120</v>
      </c>
      <c r="M7" s="9">
        <v>90</v>
      </c>
      <c r="N7" s="9" t="s">
        <v>33</v>
      </c>
      <c r="O7" s="9">
        <v>9.6</v>
      </c>
      <c r="P7" s="9">
        <f t="shared" si="0"/>
        <v>115.19999999999999</v>
      </c>
      <c r="Q7" s="9">
        <v>7.2</v>
      </c>
      <c r="R7" s="9">
        <v>86.4</v>
      </c>
      <c r="S7" s="9">
        <v>149.65</v>
      </c>
      <c r="T7" s="9">
        <f t="shared" si="1"/>
        <v>1795.8000000000002</v>
      </c>
      <c r="U7" s="9">
        <v>806</v>
      </c>
      <c r="V7" s="9">
        <v>990</v>
      </c>
      <c r="W7" s="9">
        <v>118.99</v>
      </c>
      <c r="X7" s="9">
        <f t="shared" si="2"/>
        <v>1427.8799999999999</v>
      </c>
      <c r="Y7" s="9">
        <v>622</v>
      </c>
      <c r="Z7" s="9">
        <v>102.93</v>
      </c>
      <c r="AA7" s="9">
        <f t="shared" si="3"/>
        <v>1235.1600000000001</v>
      </c>
      <c r="AB7" s="2">
        <v>569</v>
      </c>
    </row>
    <row r="8" spans="1:28" ht="30" customHeight="1">
      <c r="A8" s="9" t="s">
        <v>43</v>
      </c>
      <c r="B8" s="10" t="s">
        <v>122</v>
      </c>
      <c r="C8" s="9" t="s">
        <v>29</v>
      </c>
      <c r="D8" s="9">
        <v>4</v>
      </c>
      <c r="E8" s="9">
        <v>8</v>
      </c>
      <c r="F8" s="9" t="s">
        <v>36</v>
      </c>
      <c r="G8" s="9" t="s">
        <v>37</v>
      </c>
      <c r="H8" s="9" t="s">
        <v>39</v>
      </c>
      <c r="I8" s="9" t="s">
        <v>39</v>
      </c>
      <c r="J8" s="9">
        <v>1</v>
      </c>
      <c r="K8" s="9">
        <v>8</v>
      </c>
      <c r="L8" s="9">
        <v>100</v>
      </c>
      <c r="M8" s="9"/>
      <c r="N8" s="9" t="s">
        <v>33</v>
      </c>
      <c r="O8" s="9">
        <v>8</v>
      </c>
      <c r="P8" s="9">
        <f t="shared" si="0"/>
        <v>96</v>
      </c>
      <c r="Q8" s="9"/>
      <c r="R8" s="9"/>
      <c r="S8" s="9">
        <v>89.12</v>
      </c>
      <c r="T8" s="9">
        <f t="shared" si="1"/>
        <v>1069.44</v>
      </c>
      <c r="U8" s="9">
        <v>403</v>
      </c>
      <c r="V8" s="9">
        <v>666</v>
      </c>
      <c r="W8" s="9">
        <v>70.31</v>
      </c>
      <c r="X8" s="9">
        <f t="shared" si="2"/>
        <v>843.72</v>
      </c>
      <c r="Y8" s="9">
        <v>441</v>
      </c>
      <c r="Z8" s="9">
        <v>58.77</v>
      </c>
      <c r="AA8" s="9">
        <f t="shared" si="3"/>
        <v>705.24</v>
      </c>
      <c r="AB8" s="2">
        <v>302</v>
      </c>
    </row>
    <row r="9" spans="1:28" ht="15.75" customHeight="1">
      <c r="A9" s="9" t="s">
        <v>44</v>
      </c>
      <c r="B9" s="9" t="s">
        <v>45</v>
      </c>
      <c r="C9" s="9" t="s">
        <v>29</v>
      </c>
      <c r="D9" s="9">
        <v>4</v>
      </c>
      <c r="E9" s="9">
        <v>8</v>
      </c>
      <c r="F9" s="9" t="s">
        <v>36</v>
      </c>
      <c r="G9" s="9" t="s">
        <v>37</v>
      </c>
      <c r="H9" s="9" t="s">
        <v>39</v>
      </c>
      <c r="I9" s="9" t="s">
        <v>39</v>
      </c>
      <c r="J9" s="9">
        <v>1</v>
      </c>
      <c r="K9" s="9">
        <v>8</v>
      </c>
      <c r="L9" s="9">
        <v>100</v>
      </c>
      <c r="M9" s="9">
        <v>90</v>
      </c>
      <c r="N9" s="9" t="s">
        <v>33</v>
      </c>
      <c r="O9" s="9">
        <v>8</v>
      </c>
      <c r="P9" s="9">
        <f t="shared" si="0"/>
        <v>96</v>
      </c>
      <c r="Q9" s="9">
        <v>7.2</v>
      </c>
      <c r="R9" s="9">
        <v>86.4</v>
      </c>
      <c r="S9" s="9">
        <v>89.12</v>
      </c>
      <c r="T9" s="9">
        <f t="shared" si="1"/>
        <v>1069.44</v>
      </c>
      <c r="U9" s="9">
        <v>403</v>
      </c>
      <c r="V9" s="9">
        <v>666</v>
      </c>
      <c r="W9" s="9">
        <v>70.31</v>
      </c>
      <c r="X9" s="9">
        <f t="shared" si="2"/>
        <v>843.72</v>
      </c>
      <c r="Y9" s="9">
        <v>441</v>
      </c>
      <c r="Z9" s="9">
        <v>58.77</v>
      </c>
      <c r="AA9" s="9">
        <f t="shared" si="3"/>
        <v>705.24</v>
      </c>
      <c r="AB9" s="2">
        <v>302</v>
      </c>
    </row>
    <row r="10" spans="1:28" ht="30.75" customHeight="1">
      <c r="A10" s="9" t="s">
        <v>46</v>
      </c>
      <c r="B10" s="10" t="s">
        <v>119</v>
      </c>
      <c r="C10" s="9" t="s">
        <v>29</v>
      </c>
      <c r="D10" s="9">
        <v>4</v>
      </c>
      <c r="E10" s="9">
        <v>8</v>
      </c>
      <c r="F10" s="9" t="s">
        <v>36</v>
      </c>
      <c r="G10" s="9" t="s">
        <v>47</v>
      </c>
      <c r="H10" s="9" t="s">
        <v>39</v>
      </c>
      <c r="I10" s="9" t="s">
        <v>39</v>
      </c>
      <c r="J10" s="9">
        <v>1</v>
      </c>
      <c r="K10" s="9">
        <v>8</v>
      </c>
      <c r="L10" s="9">
        <v>100</v>
      </c>
      <c r="M10" s="9"/>
      <c r="N10" s="9" t="s">
        <v>33</v>
      </c>
      <c r="O10" s="9">
        <v>8</v>
      </c>
      <c r="P10" s="9">
        <f t="shared" si="0"/>
        <v>96</v>
      </c>
      <c r="Q10" s="9"/>
      <c r="R10" s="9"/>
      <c r="S10" s="9">
        <v>89.12</v>
      </c>
      <c r="T10" s="9">
        <f t="shared" si="1"/>
        <v>1069.44</v>
      </c>
      <c r="U10" s="9">
        <v>403</v>
      </c>
      <c r="V10" s="9">
        <v>666</v>
      </c>
      <c r="W10" s="9">
        <v>70.31</v>
      </c>
      <c r="X10" s="9">
        <f t="shared" si="2"/>
        <v>843.72</v>
      </c>
      <c r="Y10" s="9">
        <v>441</v>
      </c>
      <c r="Z10" s="9">
        <v>58.77</v>
      </c>
      <c r="AA10" s="9">
        <f t="shared" si="3"/>
        <v>705.24</v>
      </c>
      <c r="AB10" s="2">
        <v>302</v>
      </c>
    </row>
    <row r="11" spans="1:28" ht="30" customHeight="1">
      <c r="A11" s="9" t="s">
        <v>48</v>
      </c>
      <c r="B11" s="9" t="s">
        <v>124</v>
      </c>
      <c r="C11" s="9" t="s">
        <v>29</v>
      </c>
      <c r="D11" s="9">
        <v>4</v>
      </c>
      <c r="E11" s="9">
        <v>16</v>
      </c>
      <c r="F11" s="9" t="s">
        <v>36</v>
      </c>
      <c r="G11" s="9" t="s">
        <v>37</v>
      </c>
      <c r="H11" s="9" t="s">
        <v>32</v>
      </c>
      <c r="I11" s="9" t="s">
        <v>32</v>
      </c>
      <c r="J11" s="9">
        <v>2</v>
      </c>
      <c r="K11" s="9">
        <v>16</v>
      </c>
      <c r="L11" s="9">
        <v>120</v>
      </c>
      <c r="M11" s="9">
        <v>90</v>
      </c>
      <c r="N11" s="9" t="s">
        <v>33</v>
      </c>
      <c r="O11" s="9">
        <v>9.6</v>
      </c>
      <c r="P11" s="9">
        <f t="shared" si="0"/>
        <v>115.19999999999999</v>
      </c>
      <c r="Q11" s="9">
        <v>7.2</v>
      </c>
      <c r="R11" s="9">
        <v>86.4</v>
      </c>
      <c r="S11" s="9">
        <v>149.65</v>
      </c>
      <c r="T11" s="9">
        <f t="shared" si="1"/>
        <v>1795.8000000000002</v>
      </c>
      <c r="U11" s="9">
        <v>806</v>
      </c>
      <c r="V11" s="9">
        <v>990</v>
      </c>
      <c r="W11" s="9">
        <v>118.99</v>
      </c>
      <c r="X11" s="9">
        <f t="shared" si="2"/>
        <v>1427.8799999999999</v>
      </c>
      <c r="Y11" s="9">
        <v>622</v>
      </c>
      <c r="Z11" s="9">
        <v>102.93</v>
      </c>
      <c r="AA11" s="9">
        <f t="shared" si="3"/>
        <v>1235.1600000000001</v>
      </c>
      <c r="AB11" s="2">
        <v>569</v>
      </c>
    </row>
    <row r="12" spans="1:28" ht="15.75" customHeight="1">
      <c r="A12" s="9" t="s">
        <v>50</v>
      </c>
      <c r="B12" s="9" t="s">
        <v>125</v>
      </c>
      <c r="C12" s="9" t="s">
        <v>29</v>
      </c>
      <c r="D12" s="9">
        <v>4</v>
      </c>
      <c r="E12" s="9">
        <v>8</v>
      </c>
      <c r="F12" s="9" t="s">
        <v>36</v>
      </c>
      <c r="G12" s="9" t="s">
        <v>51</v>
      </c>
      <c r="H12" s="9" t="s">
        <v>39</v>
      </c>
      <c r="I12" s="9" t="s">
        <v>39</v>
      </c>
      <c r="J12" s="9">
        <v>4</v>
      </c>
      <c r="K12" s="9">
        <v>8</v>
      </c>
      <c r="L12" s="9">
        <v>280</v>
      </c>
      <c r="M12" s="9"/>
      <c r="N12" s="9" t="s">
        <v>33</v>
      </c>
      <c r="O12" s="9">
        <v>22.4</v>
      </c>
      <c r="P12" s="9">
        <f t="shared" si="0"/>
        <v>268.79999999999995</v>
      </c>
      <c r="Q12" s="9"/>
      <c r="R12" s="9"/>
      <c r="S12" s="9">
        <v>89.12</v>
      </c>
      <c r="T12" s="9">
        <f t="shared" si="1"/>
        <v>1069.44</v>
      </c>
      <c r="U12" s="9">
        <v>402.96</v>
      </c>
      <c r="V12" s="9">
        <v>666.46</v>
      </c>
      <c r="W12" s="9">
        <v>70.31</v>
      </c>
      <c r="X12" s="9">
        <f t="shared" si="2"/>
        <v>843.72</v>
      </c>
      <c r="Y12" s="9">
        <v>440.8</v>
      </c>
      <c r="Z12" s="9">
        <v>58.77</v>
      </c>
      <c r="AA12" s="9">
        <f t="shared" si="3"/>
        <v>705.24</v>
      </c>
      <c r="AB12" s="2">
        <v>302.31</v>
      </c>
    </row>
    <row r="13" spans="1:28" s="15" customFormat="1" ht="15.75" customHeight="1">
      <c r="A13" s="9" t="s">
        <v>126</v>
      </c>
      <c r="B13" s="9" t="s">
        <v>49</v>
      </c>
      <c r="C13" s="9" t="s">
        <v>29</v>
      </c>
      <c r="D13" s="9">
        <v>4</v>
      </c>
      <c r="E13" s="9">
        <v>16</v>
      </c>
      <c r="F13" s="9" t="s">
        <v>36</v>
      </c>
      <c r="G13" s="9" t="s">
        <v>37</v>
      </c>
      <c r="H13" s="9" t="s">
        <v>32</v>
      </c>
      <c r="I13" s="9" t="s">
        <v>32</v>
      </c>
      <c r="J13" s="9">
        <v>2</v>
      </c>
      <c r="K13" s="9">
        <v>16</v>
      </c>
      <c r="L13" s="9">
        <v>240</v>
      </c>
      <c r="M13" s="9"/>
      <c r="N13" s="9" t="s">
        <v>33</v>
      </c>
      <c r="O13" s="9">
        <v>9.6</v>
      </c>
      <c r="P13" s="9">
        <f t="shared" ref="P13" si="4">PRODUCT(O13,12)</f>
        <v>115.19999999999999</v>
      </c>
      <c r="Q13" s="9"/>
      <c r="R13" s="9"/>
      <c r="S13" s="9">
        <v>149.65</v>
      </c>
      <c r="T13" s="9">
        <f t="shared" ref="T13" si="5">PRODUCT(S13,12)</f>
        <v>1795.8000000000002</v>
      </c>
      <c r="U13" s="9">
        <v>806</v>
      </c>
      <c r="V13" s="9">
        <v>990</v>
      </c>
      <c r="W13" s="9">
        <v>118.99</v>
      </c>
      <c r="X13" s="9">
        <f t="shared" ref="X13" si="6">PRODUCT(W13,12)</f>
        <v>1427.8799999999999</v>
      </c>
      <c r="Y13" s="9">
        <v>622</v>
      </c>
      <c r="Z13" s="9">
        <v>102.93</v>
      </c>
      <c r="AA13" s="9">
        <f t="shared" ref="AA13" si="7">PRODUCT(Z13,12)</f>
        <v>1235.1600000000001</v>
      </c>
      <c r="AB13" s="2"/>
    </row>
    <row r="14" spans="1:28" s="13" customFormat="1" ht="15.75" customHeight="1">
      <c r="A14" s="14" t="s">
        <v>52</v>
      </c>
      <c r="B14" s="14"/>
      <c r="C14" s="14" t="s">
        <v>29</v>
      </c>
      <c r="D14" s="14">
        <v>4</v>
      </c>
      <c r="E14" s="14">
        <v>2</v>
      </c>
      <c r="F14" s="14" t="s">
        <v>53</v>
      </c>
      <c r="G14" s="14" t="s">
        <v>54</v>
      </c>
      <c r="H14" s="14" t="s">
        <v>55</v>
      </c>
      <c r="I14" s="14" t="s">
        <v>55</v>
      </c>
      <c r="J14" s="14">
        <v>2</v>
      </c>
      <c r="K14" s="14">
        <v>4</v>
      </c>
      <c r="L14" s="14">
        <v>210</v>
      </c>
      <c r="M14" s="14"/>
      <c r="N14" s="14" t="s">
        <v>33</v>
      </c>
      <c r="O14" s="14">
        <v>16.8</v>
      </c>
      <c r="P14" s="14">
        <f t="shared" si="0"/>
        <v>201.60000000000002</v>
      </c>
      <c r="Q14" s="14"/>
      <c r="R14" s="14"/>
      <c r="S14" s="14">
        <v>56.21</v>
      </c>
      <c r="T14" s="14">
        <f t="shared" si="1"/>
        <v>674.52</v>
      </c>
      <c r="U14" s="14">
        <v>0</v>
      </c>
      <c r="V14" s="14">
        <v>674.52</v>
      </c>
      <c r="W14" s="14">
        <v>35.770000000000003</v>
      </c>
      <c r="X14" s="14">
        <f t="shared" si="2"/>
        <v>429.24</v>
      </c>
      <c r="Y14" s="14">
        <v>429.24</v>
      </c>
      <c r="Z14" s="14">
        <v>24.09</v>
      </c>
      <c r="AA14" s="14">
        <f t="shared" si="3"/>
        <v>289.08</v>
      </c>
      <c r="AB14" s="12">
        <v>289.08</v>
      </c>
    </row>
    <row r="15" spans="1:28" ht="15.75" customHeight="1">
      <c r="A15" s="9" t="s">
        <v>56</v>
      </c>
      <c r="B15" s="9"/>
      <c r="C15" s="9" t="s">
        <v>29</v>
      </c>
      <c r="D15" s="9">
        <v>16</v>
      </c>
      <c r="E15" s="9">
        <v>128</v>
      </c>
      <c r="F15" s="9" t="s">
        <v>57</v>
      </c>
      <c r="G15" s="9" t="s">
        <v>58</v>
      </c>
      <c r="H15" s="9" t="s">
        <v>59</v>
      </c>
      <c r="I15" s="9" t="s">
        <v>59</v>
      </c>
      <c r="J15" s="9">
        <v>16</v>
      </c>
      <c r="K15" s="9">
        <v>128</v>
      </c>
      <c r="L15" s="9">
        <v>1700</v>
      </c>
      <c r="M15" s="9"/>
      <c r="N15" s="9" t="s">
        <v>33</v>
      </c>
      <c r="O15" s="9">
        <v>391</v>
      </c>
      <c r="P15" s="9">
        <f t="shared" si="0"/>
        <v>4692</v>
      </c>
      <c r="Q15" s="9"/>
      <c r="R15" s="9"/>
      <c r="S15" s="9">
        <v>8876.7999999999993</v>
      </c>
      <c r="T15" s="9">
        <f t="shared" si="1"/>
        <v>106521.59999999999</v>
      </c>
      <c r="U15" s="9">
        <v>54382.080000000002</v>
      </c>
      <c r="V15" s="9">
        <v>52139.519999999997</v>
      </c>
      <c r="W15" s="9">
        <v>8388.58</v>
      </c>
      <c r="X15" s="9">
        <f t="shared" si="2"/>
        <v>100662.95999999999</v>
      </c>
      <c r="Y15" s="9"/>
      <c r="Z15" s="9">
        <f>AA15/12</f>
        <v>20878.25</v>
      </c>
      <c r="AA15" s="9">
        <v>250539</v>
      </c>
      <c r="AB15" s="2" t="s">
        <v>60</v>
      </c>
    </row>
    <row r="16" spans="1:28" ht="15.75" customHeight="1">
      <c r="A16" s="9" t="s">
        <v>61</v>
      </c>
      <c r="B16" s="9"/>
      <c r="C16" s="9" t="s">
        <v>29</v>
      </c>
      <c r="D16" s="9">
        <v>8</v>
      </c>
      <c r="E16" s="9">
        <v>64</v>
      </c>
      <c r="F16" s="9" t="s">
        <v>57</v>
      </c>
      <c r="G16" s="9" t="s">
        <v>62</v>
      </c>
      <c r="H16" s="9" t="s">
        <v>63</v>
      </c>
      <c r="I16" s="9" t="s">
        <v>63</v>
      </c>
      <c r="J16" s="9">
        <v>8</v>
      </c>
      <c r="K16" s="9">
        <v>64</v>
      </c>
      <c r="L16" s="9">
        <v>2900</v>
      </c>
      <c r="M16" s="9"/>
      <c r="N16" s="9" t="s">
        <v>33</v>
      </c>
      <c r="O16" s="9">
        <v>333.5</v>
      </c>
      <c r="P16" s="9">
        <f t="shared" si="0"/>
        <v>4002</v>
      </c>
      <c r="Q16" s="9"/>
      <c r="R16" s="9"/>
      <c r="S16" s="9">
        <v>2219.1999999999998</v>
      </c>
      <c r="T16" s="9">
        <f t="shared" si="1"/>
        <v>26630.399999999998</v>
      </c>
      <c r="U16" s="9">
        <v>13595.52</v>
      </c>
      <c r="V16" s="9">
        <v>13034.88</v>
      </c>
      <c r="W16" s="9">
        <v>2097.14</v>
      </c>
      <c r="X16" s="9">
        <f t="shared" si="2"/>
        <v>25165.68</v>
      </c>
      <c r="Y16" s="9"/>
      <c r="Z16" s="9">
        <f>AA16/12</f>
        <v>5219.583333333333</v>
      </c>
      <c r="AA16" s="9">
        <v>62635</v>
      </c>
      <c r="AB16" s="2" t="s">
        <v>60</v>
      </c>
    </row>
    <row r="17" spans="1:28" ht="15.75" customHeight="1">
      <c r="A17" s="7" t="s">
        <v>64</v>
      </c>
      <c r="B17" s="6"/>
      <c r="C17" s="6" t="s">
        <v>29</v>
      </c>
      <c r="D17" s="6"/>
      <c r="E17" s="6"/>
      <c r="F17" s="6" t="s">
        <v>65</v>
      </c>
      <c r="G17" s="6" t="s">
        <v>66</v>
      </c>
      <c r="H17" s="6" t="s">
        <v>67</v>
      </c>
      <c r="I17" s="6" t="s">
        <v>67</v>
      </c>
      <c r="J17" s="6"/>
      <c r="K17" s="6"/>
      <c r="L17" s="6">
        <v>100</v>
      </c>
      <c r="M17" s="6"/>
      <c r="N17" s="6" t="s">
        <v>33</v>
      </c>
      <c r="O17" s="6"/>
      <c r="P17" s="6"/>
      <c r="Q17" s="6"/>
      <c r="R17" s="6"/>
      <c r="S17" s="6">
        <v>147.30000000000001</v>
      </c>
      <c r="T17" s="6">
        <f t="shared" si="1"/>
        <v>1767.6000000000001</v>
      </c>
      <c r="U17" s="6">
        <v>0</v>
      </c>
      <c r="V17" s="6">
        <v>1689.6</v>
      </c>
      <c r="W17" s="6"/>
      <c r="X17" s="6"/>
      <c r="Y17" s="6"/>
      <c r="Z17" s="6"/>
      <c r="AA17" s="6"/>
      <c r="AB17" s="2"/>
    </row>
    <row r="18" spans="1:28" ht="15.75" customHeight="1">
      <c r="A18" s="7" t="s">
        <v>68</v>
      </c>
      <c r="B18" s="6"/>
      <c r="C18" s="6" t="s">
        <v>29</v>
      </c>
      <c r="D18" s="6">
        <v>2</v>
      </c>
      <c r="E18" s="6">
        <v>8</v>
      </c>
      <c r="F18" s="6" t="s">
        <v>36</v>
      </c>
      <c r="G18" s="6" t="s">
        <v>69</v>
      </c>
      <c r="H18" s="6" t="s">
        <v>70</v>
      </c>
      <c r="I18" s="6" t="s">
        <v>70</v>
      </c>
      <c r="J18" s="6">
        <v>2</v>
      </c>
      <c r="K18" s="6">
        <v>8</v>
      </c>
      <c r="L18" s="6">
        <v>100</v>
      </c>
      <c r="M18" s="6"/>
      <c r="N18" s="6" t="s">
        <v>33</v>
      </c>
      <c r="O18" s="6">
        <v>8</v>
      </c>
      <c r="P18" s="6">
        <f>PRODUCT(O18,12)</f>
        <v>96</v>
      </c>
      <c r="Q18" s="6"/>
      <c r="R18" s="6"/>
      <c r="S18" s="6">
        <v>137.24</v>
      </c>
      <c r="T18" s="6">
        <f t="shared" si="1"/>
        <v>1646.88</v>
      </c>
      <c r="U18" s="6">
        <v>805.92</v>
      </c>
      <c r="V18" s="6">
        <v>840.96</v>
      </c>
      <c r="W18" s="6">
        <v>110.96</v>
      </c>
      <c r="X18" s="6">
        <f>PRODUCT(W18,12)</f>
        <v>1331.52</v>
      </c>
      <c r="Y18" s="6">
        <v>525.6</v>
      </c>
      <c r="Z18" s="6">
        <v>97.09</v>
      </c>
      <c r="AA18" s="6">
        <f>PRODUCT(Z18,12)</f>
        <v>1165.08</v>
      </c>
      <c r="AB18" s="2">
        <v>359.16</v>
      </c>
    </row>
    <row r="19" spans="1:28" ht="15.75" customHeight="1">
      <c r="A19" s="7" t="s">
        <v>71</v>
      </c>
      <c r="B19" s="6"/>
      <c r="C19" s="6" t="s">
        <v>29</v>
      </c>
      <c r="D19" s="6">
        <v>8</v>
      </c>
      <c r="E19" s="6">
        <v>16</v>
      </c>
      <c r="F19" s="6" t="s">
        <v>72</v>
      </c>
      <c r="G19" s="6" t="s">
        <v>73</v>
      </c>
      <c r="H19" s="6" t="s">
        <v>74</v>
      </c>
      <c r="I19" s="6" t="s">
        <v>74</v>
      </c>
      <c r="J19" s="6">
        <v>8</v>
      </c>
      <c r="K19" s="6">
        <v>16</v>
      </c>
      <c r="L19" s="6">
        <v>50</v>
      </c>
      <c r="M19" s="6"/>
      <c r="N19" s="6" t="s">
        <v>33</v>
      </c>
      <c r="O19" s="6">
        <v>5.75</v>
      </c>
      <c r="P19" s="6">
        <f>PRODUCT(O19,12)</f>
        <v>69</v>
      </c>
      <c r="Q19" s="6"/>
      <c r="R19" s="6"/>
      <c r="S19" s="6">
        <v>347.48</v>
      </c>
      <c r="T19" s="6">
        <f t="shared" si="1"/>
        <v>4169.76</v>
      </c>
      <c r="U19" s="6">
        <v>0</v>
      </c>
      <c r="V19" s="6">
        <v>4169.76</v>
      </c>
      <c r="W19" s="6"/>
      <c r="X19" s="6"/>
      <c r="Y19" s="6"/>
      <c r="Z19" s="6"/>
      <c r="AA19" s="6"/>
      <c r="AB19" s="2"/>
    </row>
    <row r="20" spans="1:28" ht="15.75">
      <c r="A20" s="7" t="s">
        <v>75</v>
      </c>
      <c r="B20" s="7"/>
      <c r="C20" s="7" t="s">
        <v>29</v>
      </c>
      <c r="D20" s="7"/>
      <c r="E20" s="7"/>
      <c r="F20" s="7" t="s">
        <v>76</v>
      </c>
      <c r="G20" s="7" t="s">
        <v>77</v>
      </c>
      <c r="H20" s="7" t="s">
        <v>78</v>
      </c>
      <c r="I20" s="7" t="s">
        <v>78</v>
      </c>
      <c r="J20" s="7"/>
      <c r="K20" s="7"/>
      <c r="L20" s="7"/>
      <c r="M20" s="7"/>
      <c r="N20" s="7" t="s">
        <v>33</v>
      </c>
      <c r="O20" s="7"/>
      <c r="P20" s="7"/>
      <c r="Q20" s="7"/>
      <c r="R20" s="7"/>
      <c r="S20" s="7">
        <v>39.78</v>
      </c>
      <c r="T20" s="6">
        <f t="shared" si="1"/>
        <v>477.36</v>
      </c>
      <c r="U20" s="7"/>
      <c r="V20" s="7"/>
      <c r="W20" s="7"/>
      <c r="X20" s="7"/>
      <c r="Y20" s="7"/>
      <c r="Z20" s="7"/>
      <c r="AA20" s="7"/>
      <c r="AB20" s="2"/>
    </row>
    <row r="21" spans="1:28" ht="15.75" customHeight="1">
      <c r="A21" s="7" t="s">
        <v>79</v>
      </c>
      <c r="B21" s="7"/>
      <c r="C21" s="7" t="s">
        <v>29</v>
      </c>
      <c r="D21" s="7"/>
      <c r="E21" s="7"/>
      <c r="F21" s="7" t="s">
        <v>76</v>
      </c>
      <c r="G21" s="7" t="s">
        <v>80</v>
      </c>
      <c r="H21" s="7" t="s">
        <v>78</v>
      </c>
      <c r="I21" s="7" t="s">
        <v>78</v>
      </c>
      <c r="J21" s="7"/>
      <c r="K21" s="7"/>
      <c r="L21" s="7"/>
      <c r="M21" s="7"/>
      <c r="N21" s="7" t="s">
        <v>33</v>
      </c>
      <c r="O21" s="7"/>
      <c r="P21" s="7"/>
      <c r="Q21" s="7"/>
      <c r="R21" s="7"/>
      <c r="S21" s="7">
        <v>0.09</v>
      </c>
      <c r="T21" s="6">
        <f t="shared" si="1"/>
        <v>1.08</v>
      </c>
      <c r="U21" s="7"/>
      <c r="V21" s="7"/>
      <c r="W21" s="7"/>
      <c r="X21" s="7"/>
      <c r="Y21" s="7"/>
      <c r="Z21" s="7"/>
      <c r="AA21" s="7"/>
      <c r="AB21" s="2"/>
    </row>
    <row r="22" spans="1:28" ht="15.75" customHeight="1">
      <c r="A22" s="7" t="s">
        <v>81</v>
      </c>
      <c r="B22" s="7"/>
      <c r="C22" s="7" t="s">
        <v>29</v>
      </c>
      <c r="D22" s="7"/>
      <c r="E22" s="7"/>
      <c r="F22" s="7" t="s">
        <v>76</v>
      </c>
      <c r="G22" s="7" t="s">
        <v>82</v>
      </c>
      <c r="H22" s="7" t="s">
        <v>78</v>
      </c>
      <c r="I22" s="7" t="s">
        <v>78</v>
      </c>
      <c r="J22" s="7"/>
      <c r="K22" s="7"/>
      <c r="L22" s="7"/>
      <c r="M22" s="7"/>
      <c r="N22" s="7" t="s">
        <v>33</v>
      </c>
      <c r="O22" s="7"/>
      <c r="P22" s="7"/>
      <c r="Q22" s="7"/>
      <c r="R22" s="7"/>
      <c r="S22" s="7">
        <v>1.1499999999999999</v>
      </c>
      <c r="T22" s="6">
        <f t="shared" si="1"/>
        <v>13.799999999999999</v>
      </c>
      <c r="U22" s="7"/>
      <c r="V22" s="7"/>
      <c r="W22" s="7"/>
      <c r="X22" s="7"/>
      <c r="Y22" s="7"/>
      <c r="Z22" s="7"/>
      <c r="AA22" s="7"/>
      <c r="AB22" s="2"/>
    </row>
    <row r="23" spans="1:28" ht="15.75" customHeight="1">
      <c r="A23" s="7" t="s">
        <v>83</v>
      </c>
      <c r="B23" s="7"/>
      <c r="C23" s="7" t="s">
        <v>29</v>
      </c>
      <c r="D23" s="7"/>
      <c r="E23" s="7"/>
      <c r="F23" s="7" t="s">
        <v>76</v>
      </c>
      <c r="G23" s="7" t="s">
        <v>84</v>
      </c>
      <c r="H23" s="7" t="s">
        <v>78</v>
      </c>
      <c r="I23" s="7" t="s">
        <v>78</v>
      </c>
      <c r="J23" s="7"/>
      <c r="K23" s="7"/>
      <c r="L23" s="7"/>
      <c r="M23" s="7"/>
      <c r="N23" s="7" t="s">
        <v>33</v>
      </c>
      <c r="O23" s="7"/>
      <c r="P23" s="7"/>
      <c r="Q23" s="7"/>
      <c r="R23" s="7"/>
      <c r="S23" s="7">
        <v>2</v>
      </c>
      <c r="T23" s="6">
        <f t="shared" si="1"/>
        <v>24</v>
      </c>
      <c r="U23" s="7"/>
      <c r="V23" s="7"/>
      <c r="W23" s="7"/>
      <c r="X23" s="7"/>
      <c r="Y23" s="7"/>
      <c r="Z23" s="7"/>
      <c r="AA23" s="7"/>
      <c r="AB23" s="2"/>
    </row>
    <row r="24" spans="1:28" ht="15.75" customHeight="1">
      <c r="A24" s="7" t="s">
        <v>85</v>
      </c>
      <c r="B24" s="7"/>
      <c r="C24" s="7" t="s">
        <v>29</v>
      </c>
      <c r="D24" s="7"/>
      <c r="E24" s="7"/>
      <c r="F24" s="7" t="s">
        <v>76</v>
      </c>
      <c r="G24" s="7" t="s">
        <v>86</v>
      </c>
      <c r="H24" s="7" t="s">
        <v>78</v>
      </c>
      <c r="I24" s="7" t="s">
        <v>78</v>
      </c>
      <c r="J24" s="7"/>
      <c r="K24" s="7"/>
      <c r="L24" s="7"/>
      <c r="M24" s="7"/>
      <c r="N24" s="7" t="s">
        <v>33</v>
      </c>
      <c r="O24" s="7"/>
      <c r="P24" s="7"/>
      <c r="Q24" s="7"/>
      <c r="R24" s="7"/>
      <c r="S24" s="7">
        <v>0.8</v>
      </c>
      <c r="T24" s="6">
        <f t="shared" si="1"/>
        <v>9.6000000000000014</v>
      </c>
      <c r="U24" s="7"/>
      <c r="V24" s="7"/>
      <c r="W24" s="7"/>
      <c r="X24" s="7"/>
      <c r="Y24" s="7"/>
      <c r="Z24" s="7"/>
      <c r="AA24" s="7"/>
      <c r="AB24" s="2"/>
    </row>
    <row r="25" spans="1:28" ht="15.75" customHeight="1"/>
    <row r="26" spans="1:28" ht="15.75" customHeight="1"/>
    <row r="27" spans="1:28" ht="15.75" customHeight="1"/>
    <row r="28" spans="1:28" ht="15.75" customHeight="1"/>
    <row r="29" spans="1:28" ht="15.75" customHeight="1"/>
    <row r="30" spans="1:28" ht="15.75" customHeight="1"/>
    <row r="31" spans="1:28" ht="15.75" customHeight="1"/>
    <row r="32" spans="1:28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AB24" xr:uid="{00000000-0001-0000-0200-000000000000}"/>
  <pageMargins left="0.75" right="0.75" top="1" bottom="1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Read Me</vt:lpstr>
      <vt:lpstr>Glossary</vt:lpstr>
      <vt:lpstr>Shared Tenancy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Sepulveda.ext, Javier</cp:lastModifiedBy>
  <dcterms:created xsi:type="dcterms:W3CDTF">2026-06-19T17:25:49Z</dcterms:created>
  <dcterms:modified xsi:type="dcterms:W3CDTF">2026-09-17T15:46:32Z</dcterms:modified>
</cp:coreProperties>
</file>