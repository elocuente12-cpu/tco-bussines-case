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Glossary" sheetId="2" state="visible" r:id="rId2"/>
    <sheet xmlns:r="http://schemas.openxmlformats.org/officeDocument/2006/relationships" name="Shared Tenancy Analysi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1"/>
      <scheme val="minor"/>
    </font>
    <font>
      <name val="Amazon Ember"/>
      <b val="1"/>
      <color theme="0"/>
      <sz val="12"/>
    </font>
    <font>
      <name val="Amazon Ember"/>
      <color theme="1"/>
      <sz val="12"/>
    </font>
  </fonts>
  <fills count="5">
    <fill>
      <patternFill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1" fillId="0" borderId="1"/>
  </cellStyleXfs>
  <cellXfs count="11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2" fillId="2" borderId="2" pivotButton="0" quotePrefix="0" xfId="0"/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3" fillId="3" borderId="2" pivotButton="0" quotePrefix="0" xfId="0"/>
    <xf numFmtId="0" fontId="3" fillId="4" borderId="2" pivotButton="0" quotePrefix="0" xfId="0"/>
    <xf numFmtId="0" fontId="3" fillId="3" borderId="2" applyAlignment="1" pivotButton="0" quotePrefix="0" xfId="0">
      <alignment wrapText="1"/>
    </xf>
    <xf numFmtId="0" fontId="3" fillId="0" borderId="2" pivotButton="0" quotePrefix="0" xfId="0"/>
    <xf numFmtId="0" fontId="3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tc={5D300EF5-99F3-47D0-9E4E-574991756B1B}</author>
    <author>tc={9766D75B-3A6E-45AA-8036-B209058EFE63}</author>
    <author>tc={7CBE9C47-E890-4965-BEAF-A26D0A421EE9}</author>
    <author>tc={C1EC95D0-3745-42C2-8CCD-73E88C66B3F6}</author>
    <author>tc={765B32F2-5618-4970-AFAB-880B3045A5ED}</author>
    <author>tc={A5E9C293-0AAB-4608-A30C-900615DA4063}</author>
  </authors>
  <commentList>
    <comment ref="Z14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All upfront</t>
      </text>
    </comment>
    <comment ref="AA14" authorId="1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All upfront</t>
      </text>
    </comment>
    <comment ref="Z15" authorId="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All upfront</t>
      </text>
    </comment>
    <comment ref="AA15" authorId="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All upfront</t>
      </text>
    </comment>
    <comment ref="O16" authorId="4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Storage + throughput  </t>
      </text>
    </comment>
    <comment ref="S16" authorId="5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Storage + throughput  
Facturado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10" defaultColWidth="14.42578125" defaultRowHeight="15" customHeight="1"/>
  <cols>
    <col width="8.7109375" customWidth="1" min="1" max="26"/>
  </cols>
  <sheetData>
    <row r="1">
      <c r="A1" s="1" t="inlineStr">
        <is>
          <t>This file contains an export of AWS Transform Assessment results for Production Environment (InteliSrcPA).</t>
        </is>
      </c>
    </row>
    <row r="3">
      <c r="A3" s="1" t="inlineStr">
        <is>
          <t>Sheet</t>
        </is>
      </c>
      <c r="B3" s="1" t="inlineStr">
        <is>
          <t>Description</t>
        </is>
      </c>
    </row>
    <row r="4">
      <c r="A4" s="1" t="inlineStr">
        <is>
          <t>Glossary</t>
        </is>
      </c>
      <c r="B4" s="1" t="inlineStr">
        <is>
          <t>Column-by-column definitions and descriptions for all data fields.</t>
        </is>
      </c>
    </row>
    <row r="5">
      <c r="A5" s="1" t="inlineStr">
        <is>
          <t>Shared Tenancy Analysis</t>
        </is>
      </c>
      <c r="B5" s="1" t="inlineStr">
        <is>
          <t>Lists servers that can run on shared hardware infrastructure in AWS.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10" defaultColWidth="14.42578125" defaultRowHeight="15" customHeight="1"/>
  <cols>
    <col width="8.7109375" customWidth="1" min="1" max="26"/>
  </cols>
  <sheetData>
    <row r="1">
      <c r="A1" s="1" t="inlineStr">
        <is>
          <t>Attribute Name</t>
        </is>
      </c>
      <c r="B1" s="1" t="inlineStr">
        <is>
          <t>Description</t>
        </is>
      </c>
    </row>
    <row r="2">
      <c r="A2" s="1" t="inlineStr">
        <is>
          <t>Shared Tenancy Analysis</t>
        </is>
      </c>
    </row>
    <row r="3">
      <c r="A3" s="1" t="inlineStr">
        <is>
          <t>Host Name Onpremise</t>
        </is>
      </c>
      <c r="B3" s="1" t="inlineStr">
        <is>
          <t>Name assigned to the server on-premise</t>
        </is>
      </c>
    </row>
    <row r="4">
      <c r="A4" s="1" t="inlineStr">
        <is>
          <t>EC2 Name</t>
        </is>
      </c>
      <c r="B4" s="1" t="inlineStr">
        <is>
          <t>Name for the EC2 instance in AWS</t>
        </is>
      </c>
    </row>
    <row r="5">
      <c r="A5" s="1" t="inlineStr">
        <is>
          <t>Environment</t>
        </is>
      </c>
      <c r="B5" s="1" t="inlineStr">
        <is>
          <t>Production/Development/Test environment designation</t>
        </is>
      </c>
    </row>
    <row r="6">
      <c r="A6" s="1" t="inlineStr">
        <is>
          <t>Number of CPUs</t>
        </is>
      </c>
      <c r="B6" s="1" t="inlineStr">
        <is>
          <t>Count of virtual processors</t>
        </is>
      </c>
    </row>
    <row r="7">
      <c r="A7" s="1" t="inlineStr">
        <is>
          <t>RAM (GB)</t>
        </is>
      </c>
      <c r="B7" s="1" t="inlineStr">
        <is>
          <t>Total memory capacity in gigabytes</t>
        </is>
      </c>
    </row>
    <row r="8">
      <c r="A8" s="1" t="inlineStr">
        <is>
          <t>Operation System Type</t>
        </is>
      </c>
      <c r="B8" s="1" t="inlineStr">
        <is>
          <t>Category of operating system</t>
        </is>
      </c>
    </row>
    <row r="9">
      <c r="A9" s="1" t="inlineStr">
        <is>
          <t>Operation System Name</t>
        </is>
      </c>
      <c r="B9" s="1" t="inlineStr">
        <is>
          <t>Specific OS version/distribution</t>
        </is>
      </c>
    </row>
    <row r="10">
      <c r="A10" s="1" t="inlineStr">
        <is>
          <t>AWS Instance Recommended</t>
        </is>
      </c>
      <c r="B10" s="1" t="inlineStr">
        <is>
          <t>Recommended AWS instance type by assessment tool</t>
        </is>
      </c>
    </row>
    <row r="11">
      <c r="A11" s="1" t="inlineStr">
        <is>
          <t>AWS Instance Deploy</t>
        </is>
      </c>
      <c r="B11" s="1" t="inlineStr">
        <is>
          <t>Instance type to be deployed</t>
        </is>
      </c>
    </row>
    <row r="12">
      <c r="A12" s="1" t="inlineStr">
        <is>
          <t>AWS Total Cores</t>
        </is>
      </c>
      <c r="B12" s="1" t="inlineStr">
        <is>
          <t>Total cores in recommended EC2 instance</t>
        </is>
      </c>
    </row>
    <row r="13">
      <c r="A13" s="1" t="inlineStr">
        <is>
          <t>AWS RAM (GB)</t>
        </is>
      </c>
      <c r="B13" s="1" t="inlineStr">
        <is>
          <t>Memory in recommended instance in GB</t>
        </is>
      </c>
    </row>
    <row r="14">
      <c r="A14" s="1" t="inlineStr">
        <is>
          <t>EBS Size (GB)</t>
        </is>
      </c>
      <c r="B14" s="1" t="inlineStr">
        <is>
          <t>Root volume EBS storage size in GB</t>
        </is>
      </c>
    </row>
    <row r="15">
      <c r="A15" s="1" t="inlineStr">
        <is>
          <t>EBS Size (GB) Additional</t>
        </is>
      </c>
      <c r="B15" s="1" t="inlineStr">
        <is>
          <t>Additional EBS volumes in GB</t>
        </is>
      </c>
    </row>
    <row r="16">
      <c r="A16" s="1" t="inlineStr">
        <is>
          <t>AWS Region</t>
        </is>
      </c>
      <c r="B16" s="1" t="inlineStr">
        <is>
          <t>Target AWS geographic region</t>
        </is>
      </c>
    </row>
    <row r="17">
      <c r="A17" s="1" t="inlineStr">
        <is>
          <t>Annualized 1 Yr EBS Cost</t>
        </is>
      </c>
      <c r="B17" s="1" t="inlineStr">
        <is>
          <t>Yearly EBS storage cost</t>
        </is>
      </c>
    </row>
    <row r="18">
      <c r="A18" s="1" t="inlineStr">
        <is>
          <t>Annualized On-Demand Total EC2 - RDS Cost</t>
        </is>
      </c>
      <c r="B18" s="1" t="inlineStr">
        <is>
          <t>Yearly total cost using on-demand pricing</t>
        </is>
      </c>
    </row>
    <row r="19">
      <c r="A19" s="1" t="inlineStr">
        <is>
          <t>Annualized License Only Cost</t>
        </is>
      </c>
      <c r="B19" s="1" t="inlineStr">
        <is>
          <t>Yearly licensing costs</t>
        </is>
      </c>
    </row>
    <row r="20">
      <c r="A20" s="1" t="inlineStr">
        <is>
          <t>Annualized On-Demand EC2 Cost Excl. License Cost</t>
        </is>
      </c>
      <c r="B20" s="1" t="inlineStr">
        <is>
          <t>Yearly compute costs at on-demand rates</t>
        </is>
      </c>
    </row>
    <row r="21" ht="15.75" customHeight="1">
      <c r="A21" s="1" t="inlineStr">
        <is>
          <t>Annualized 1 Yr NURI Total EC2 - RDS Cost</t>
        </is>
      </c>
      <c r="B21" s="1" t="inlineStr">
        <is>
          <t>Total yearly cost with 1-year RI no upfront</t>
        </is>
      </c>
    </row>
    <row r="22" ht="15.75" customHeight="1">
      <c r="A22" s="1" t="inlineStr">
        <is>
          <t>Annualized 1 Yr NURI EC2 Cost, Excl. License Costs</t>
        </is>
      </c>
      <c r="B22" s="1" t="inlineStr">
        <is>
          <t>Compute-only yearly cost with 1-year RI</t>
        </is>
      </c>
    </row>
    <row r="23" ht="15.75" customHeight="1">
      <c r="A23" s="1" t="inlineStr">
        <is>
          <t>Annualized 3 Yr NURI Total EC2 Cost</t>
        </is>
      </c>
      <c r="B23" s="1" t="inlineStr">
        <is>
          <t>Total yearly cost with 3-year RI no upfront</t>
        </is>
      </c>
    </row>
    <row r="24" ht="15.75" customHeight="1">
      <c r="A24" s="1" t="inlineStr">
        <is>
          <t>Annualized 3 Yr NURI EC2 Cost Excl. License Cost</t>
        </is>
      </c>
      <c r="B24" s="1" t="inlineStr">
        <is>
          <t>Compute-only yearly cost with 3-year RI</t>
        </is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3"/>
  <sheetViews>
    <sheetView tabSelected="1" workbookViewId="0">
      <selection activeCell="A18" sqref="A18"/>
    </sheetView>
  </sheetViews>
  <sheetFormatPr baseColWidth="10" defaultColWidth="14.42578125" defaultRowHeight="15" customHeight="1"/>
  <cols>
    <col width="31.5703125" bestFit="1" customWidth="1" min="1" max="1"/>
    <col width="48.5703125" bestFit="1" customWidth="1" min="2" max="2"/>
    <col width="12" customWidth="1" min="3" max="3"/>
    <col width="16" customWidth="1" min="4" max="4"/>
    <col width="10" customWidth="1" min="5" max="5"/>
    <col width="27.140625" bestFit="1" customWidth="1" min="6" max="6"/>
    <col width="67.5703125" bestFit="1" customWidth="1" min="7" max="7"/>
    <col width="34.140625" bestFit="1" customWidth="1" min="8" max="8"/>
    <col width="25" bestFit="1" customWidth="1" min="9" max="9"/>
    <col width="19.85546875" bestFit="1" customWidth="1" min="10" max="10"/>
    <col width="17.85546875" bestFit="1" customWidth="1" min="11" max="11"/>
    <col width="17" bestFit="1" customWidth="1" min="12" max="12"/>
    <col width="28.85546875" bestFit="1" customWidth="1" min="13" max="13"/>
    <col width="23" customWidth="1" min="14" max="14"/>
    <col width="27.42578125" bestFit="1" customWidth="1" style="4" min="15" max="15"/>
    <col width="26" customWidth="1" min="16" max="16"/>
    <col width="33.28515625" bestFit="1" customWidth="1" style="4" min="17" max="17"/>
    <col width="41.7109375" bestFit="1" customWidth="1" min="18" max="18"/>
    <col width="48.85546875" bestFit="1" customWidth="1" style="4" min="19" max="19"/>
    <col width="51.85546875" bestFit="1" customWidth="1" min="20" max="20"/>
    <col hidden="1" width="30" customWidth="1" min="21" max="21"/>
    <col hidden="1" width="40" customWidth="1" min="22" max="22"/>
    <col width="79.85546875" bestFit="1" customWidth="1" style="4" min="23" max="23"/>
    <col width="40" customWidth="1" min="24" max="24"/>
    <col hidden="1" width="40" customWidth="1" min="25" max="25"/>
    <col width="79.85546875" bestFit="1" customWidth="1" style="4" min="26" max="26"/>
    <col width="37" customWidth="1" min="27" max="27"/>
    <col hidden="1" width="40" customWidth="1" min="28" max="28"/>
    <col width="8.7109375" customWidth="1" min="29" max="32"/>
  </cols>
  <sheetData>
    <row r="1" ht="15.75" customFormat="1" customHeight="1" s="4">
      <c r="A1" s="3" t="inlineStr">
        <is>
          <t>Host Name Onpremise</t>
        </is>
      </c>
      <c r="B1" s="3" t="inlineStr">
        <is>
          <t>EC2 Name</t>
        </is>
      </c>
      <c r="C1" s="3" t="inlineStr">
        <is>
          <t>Enviroment</t>
        </is>
      </c>
      <c r="D1" s="3" t="inlineStr">
        <is>
          <t>Number of CPUs</t>
        </is>
      </c>
      <c r="E1" s="3" t="inlineStr">
        <is>
          <t>RAM (GB)</t>
        </is>
      </c>
      <c r="F1" s="3" t="inlineStr">
        <is>
          <t>Operation System Type</t>
        </is>
      </c>
      <c r="G1" s="3" t="inlineStr">
        <is>
          <t>Operation System Name</t>
        </is>
      </c>
      <c r="H1" s="3" t="inlineStr">
        <is>
          <t>AWS Instance Recommended</t>
        </is>
      </c>
      <c r="I1" s="5" t="inlineStr">
        <is>
          <t>AWS Instance Deploy</t>
        </is>
      </c>
      <c r="J1" s="3" t="inlineStr">
        <is>
          <t>AWS Total Cores</t>
        </is>
      </c>
      <c r="K1" s="3" t="inlineStr">
        <is>
          <t>AWS RAM (GB)</t>
        </is>
      </c>
      <c r="L1" s="3" t="inlineStr">
        <is>
          <t>EBS Size (GB)</t>
        </is>
      </c>
      <c r="M1" s="3" t="inlineStr">
        <is>
          <t>EBS Additional Size (GB)</t>
        </is>
      </c>
      <c r="N1" s="3" t="inlineStr">
        <is>
          <t>AWS Region</t>
        </is>
      </c>
      <c r="O1" s="3" t="inlineStr">
        <is>
          <t>Monthly Root EBS Cost</t>
        </is>
      </c>
      <c r="P1" s="3" t="inlineStr">
        <is>
          <t>Annualized 1 Yr EBS Cost</t>
        </is>
      </c>
      <c r="Q1" s="3" t="inlineStr">
        <is>
          <t>Monthly Additional EBS Cost</t>
        </is>
      </c>
      <c r="R1" s="3" t="inlineStr">
        <is>
          <t>Annualized 1 Yr Additional EBS Cost</t>
        </is>
      </c>
      <c r="S1" s="3" t="inlineStr">
        <is>
          <t>Monthly  On-Demand Total EC2 - RDS Cost</t>
        </is>
      </c>
      <c r="T1" s="3" t="inlineStr">
        <is>
          <t>Annualized On-Demand Total EC2 - RDS Cost</t>
        </is>
      </c>
      <c r="U1" s="3" t="inlineStr">
        <is>
          <t>Annualized License Only Cost</t>
        </is>
      </c>
      <c r="V1" s="3" t="inlineStr">
        <is>
          <t>Annualized On-Demand EC2 Cost Excl. License Cost</t>
        </is>
      </c>
      <c r="W1" s="3" t="inlineStr">
        <is>
          <t>Monthly 1 Yr NURI  Standard Reserved Instances Total EC2 - RDS Cost</t>
        </is>
      </c>
      <c r="X1" s="3" t="inlineStr">
        <is>
          <t>Annualized 1 Yr NURI Total EC2 - RDS Cost</t>
        </is>
      </c>
      <c r="Y1" s="4" t="inlineStr">
        <is>
          <t>Annualized 1 Yr NURI EC2 Cost, Excl. License Costs</t>
        </is>
      </c>
      <c r="Z1" s="3" t="inlineStr">
        <is>
          <t>Monthly 3 Yr NURI  Standard Reserved Instances Total EC2 - RDS Cost</t>
        </is>
      </c>
      <c r="AA1" s="3" t="inlineStr">
        <is>
          <t>Annualized 3 Yr NURI Total EC2 Cost</t>
        </is>
      </c>
      <c r="AB1" s="4" t="inlineStr">
        <is>
          <t>Annualized 3 Yr NURI EC2 Cost Excl. License Cost</t>
        </is>
      </c>
    </row>
    <row r="2" ht="15.75" customHeight="1">
      <c r="A2" s="6" t="inlineStr">
        <is>
          <t>PAHWPAPSTS01</t>
        </is>
      </c>
      <c r="B2" s="6" t="n"/>
      <c r="C2" s="6" t="inlineStr">
        <is>
          <t>PROD</t>
        </is>
      </c>
      <c r="D2" s="6" t="n">
        <v>4</v>
      </c>
      <c r="E2" s="6" t="n">
        <v>16</v>
      </c>
      <c r="F2" s="6" t="inlineStr">
        <is>
          <t>RHEL</t>
        </is>
      </c>
      <c r="G2" s="6" t="inlineStr">
        <is>
          <t>Red Hat Enterprise Linux 8 (64-bit)</t>
        </is>
      </c>
      <c r="H2" s="6" t="inlineStr">
        <is>
          <t>r5a.large</t>
        </is>
      </c>
      <c r="I2" s="6" t="inlineStr">
        <is>
          <t>r5a.large</t>
        </is>
      </c>
      <c r="J2" s="6" t="n">
        <v>2</v>
      </c>
      <c r="K2" s="6" t="n">
        <v>16</v>
      </c>
      <c r="L2" s="6" t="n">
        <v>520</v>
      </c>
      <c r="M2" s="6" t="n"/>
      <c r="N2" s="6" t="inlineStr">
        <is>
          <t>US East (N. Virginia)</t>
        </is>
      </c>
      <c r="O2" s="6" t="n">
        <v>41.6</v>
      </c>
      <c r="P2" s="6">
        <f>PRODUCT(O2,12)</f>
        <v/>
      </c>
      <c r="Q2" s="6" t="n"/>
      <c r="R2" s="6" t="n"/>
      <c r="S2" s="6" t="n">
        <v>104</v>
      </c>
      <c r="T2" s="6">
        <f>PRODUCT(S2,12)</f>
        <v/>
      </c>
      <c r="U2" s="6" t="n">
        <v>0</v>
      </c>
      <c r="V2" s="6" t="n">
        <v>1244</v>
      </c>
      <c r="W2" s="6" t="n">
        <v>73</v>
      </c>
      <c r="X2" s="6">
        <f>PRODUCT(W2,12)</f>
        <v/>
      </c>
      <c r="Y2" s="6" t="n">
        <v>876</v>
      </c>
      <c r="Z2" s="6" t="n">
        <v>57</v>
      </c>
      <c r="AA2" s="6">
        <f>PRODUCT(Z2,12)</f>
        <v/>
      </c>
      <c r="AB2" s="2" t="n">
        <v>683</v>
      </c>
    </row>
    <row r="3" ht="15.75" customHeight="1">
      <c r="A3" s="6" t="inlineStr">
        <is>
          <t>PAHWPAPSTE01</t>
        </is>
      </c>
      <c r="B3" s="6" t="n"/>
      <c r="C3" s="6" t="inlineStr">
        <is>
          <t>PROD</t>
        </is>
      </c>
      <c r="D3" s="6" t="n">
        <v>4</v>
      </c>
      <c r="E3" s="6" t="n">
        <v>16</v>
      </c>
      <c r="F3" s="6" t="inlineStr">
        <is>
          <t>RHEL</t>
        </is>
      </c>
      <c r="G3" s="6" t="inlineStr">
        <is>
          <t>Red Hat Enterprise Linux 8 (64-bit)</t>
        </is>
      </c>
      <c r="H3" s="6" t="inlineStr">
        <is>
          <t>r5a.large</t>
        </is>
      </c>
      <c r="I3" s="6" t="inlineStr">
        <is>
          <t>r5a.large</t>
        </is>
      </c>
      <c r="J3" s="6" t="n">
        <v>2</v>
      </c>
      <c r="K3" s="6" t="n">
        <v>16</v>
      </c>
      <c r="L3" s="6" t="n">
        <v>210</v>
      </c>
      <c r="M3" s="6" t="n"/>
      <c r="N3" s="6" t="inlineStr">
        <is>
          <t>US East (N. Virginia)</t>
        </is>
      </c>
      <c r="O3" s="6" t="n">
        <v>16.8</v>
      </c>
      <c r="P3" s="6">
        <f>PRODUCT(O3,12)</f>
        <v/>
      </c>
      <c r="Q3" s="6" t="n"/>
      <c r="R3" s="6" t="n"/>
      <c r="S3" s="6" t="n">
        <v>104</v>
      </c>
      <c r="T3" s="6">
        <f>PRODUCT(S3,12)</f>
        <v/>
      </c>
      <c r="U3" s="6" t="n">
        <v>0</v>
      </c>
      <c r="V3" s="6" t="n">
        <v>1244</v>
      </c>
      <c r="W3" s="6" t="n">
        <v>73</v>
      </c>
      <c r="X3" s="6">
        <f>PRODUCT(W3,12)</f>
        <v/>
      </c>
      <c r="Y3" s="6" t="n">
        <v>876</v>
      </c>
      <c r="Z3" s="6" t="n">
        <v>57</v>
      </c>
      <c r="AA3" s="6">
        <f>PRODUCT(Z3,12)</f>
        <v/>
      </c>
      <c r="AB3" s="2" t="n">
        <v>683</v>
      </c>
    </row>
    <row r="4" ht="30" customHeight="1">
      <c r="A4" s="6" t="inlineStr">
        <is>
          <t>PAHWPAPSRC03</t>
        </is>
      </c>
      <c r="B4" s="8" t="inlineStr">
        <is>
          <t>USAEA1PWBWES23 
USAEA1PWBWES24</t>
        </is>
      </c>
      <c r="C4" s="6" t="inlineStr">
        <is>
          <t>PROD</t>
        </is>
      </c>
      <c r="D4" s="6" t="n">
        <v>4</v>
      </c>
      <c r="E4" s="6" t="n">
        <v>16</v>
      </c>
      <c r="F4" s="6" t="inlineStr">
        <is>
          <t>Windows</t>
        </is>
      </c>
      <c r="G4" s="6" t="inlineStr">
        <is>
          <t>Microsoft Windows Server 2025 (64-bit)</t>
        </is>
      </c>
      <c r="H4" s="6" t="inlineStr">
        <is>
          <t>r5a.large</t>
        </is>
      </c>
      <c r="I4" s="6" t="inlineStr">
        <is>
          <t>r5a.large</t>
        </is>
      </c>
      <c r="J4" s="6" t="n">
        <v>2</v>
      </c>
      <c r="K4" s="6" t="n">
        <v>16</v>
      </c>
      <c r="L4" s="6" t="n">
        <v>120</v>
      </c>
      <c r="M4" s="6" t="n"/>
      <c r="N4" s="6" t="inlineStr">
        <is>
          <t>US East (N. Virginia)</t>
        </is>
      </c>
      <c r="O4" s="6" t="n">
        <v>9.6</v>
      </c>
      <c r="P4" s="6">
        <f>PRODUCT(O4,12)</f>
        <v/>
      </c>
      <c r="Q4" s="6" t="n"/>
      <c r="R4" s="6" t="n"/>
      <c r="S4" s="6" t="n">
        <v>149.65</v>
      </c>
      <c r="T4" s="6">
        <f>PRODUCT(S4,12)</f>
        <v/>
      </c>
      <c r="U4" s="6" t="n">
        <v>806</v>
      </c>
      <c r="V4" s="6" t="n">
        <v>990</v>
      </c>
      <c r="W4" s="6" t="n">
        <v>118.99</v>
      </c>
      <c r="X4" s="6">
        <f>PRODUCT(W4,12)</f>
        <v/>
      </c>
      <c r="Y4" s="6" t="n">
        <v>622</v>
      </c>
      <c r="Z4" s="6" t="n">
        <v>102.93</v>
      </c>
      <c r="AA4" s="6">
        <f>PRODUCT(Z4,12)</f>
        <v/>
      </c>
      <c r="AB4" s="2" t="n">
        <v>569</v>
      </c>
    </row>
    <row r="5" ht="30" customHeight="1">
      <c r="A5" s="9" t="inlineStr">
        <is>
          <t>PAHWPAPWFC01</t>
        </is>
      </c>
      <c r="B5" s="10" t="inlineStr">
        <is>
          <t>USAEA1PWBWES25 
USAEA1PWBWES26</t>
        </is>
      </c>
      <c r="C5" s="9" t="inlineStr">
        <is>
          <t>PROD</t>
        </is>
      </c>
      <c r="D5" s="9" t="n">
        <v>4</v>
      </c>
      <c r="E5" s="9" t="n">
        <v>8</v>
      </c>
      <c r="F5" s="9" t="inlineStr">
        <is>
          <t>Windows</t>
        </is>
      </c>
      <c r="G5" s="9" t="inlineStr">
        <is>
          <t>Microsoft Windows Server 2025 (64-bit)</t>
        </is>
      </c>
      <c r="H5" s="9" t="inlineStr">
        <is>
          <t>r7a.medium</t>
        </is>
      </c>
      <c r="I5" s="9" t="inlineStr">
        <is>
          <t>r7a.medium</t>
        </is>
      </c>
      <c r="J5" s="9" t="n">
        <v>1</v>
      </c>
      <c r="K5" s="9" t="n">
        <v>8</v>
      </c>
      <c r="L5" s="9" t="n">
        <v>100</v>
      </c>
      <c r="M5" s="9" t="n"/>
      <c r="N5" s="9" t="inlineStr">
        <is>
          <t>US East (N. Virginia)</t>
        </is>
      </c>
      <c r="O5" s="9" t="n">
        <v>8</v>
      </c>
      <c r="P5" s="9">
        <f>PRODUCT(O5,12)</f>
        <v/>
      </c>
      <c r="Q5" s="9" t="n"/>
      <c r="R5" s="9" t="n"/>
      <c r="S5" s="9" t="n">
        <v>89.12</v>
      </c>
      <c r="T5" s="9">
        <f>PRODUCT(S5,12)</f>
        <v/>
      </c>
      <c r="U5" s="9" t="n">
        <v>403</v>
      </c>
      <c r="V5" s="9" t="n">
        <v>666</v>
      </c>
      <c r="W5" s="9" t="n">
        <v>70.31</v>
      </c>
      <c r="X5" s="9">
        <f>PRODUCT(W5,12)</f>
        <v/>
      </c>
      <c r="Y5" s="9" t="n">
        <v>441</v>
      </c>
      <c r="Z5" s="9" t="n">
        <v>58.77</v>
      </c>
      <c r="AA5" s="9">
        <f>PRODUCT(Z5,12)</f>
        <v/>
      </c>
      <c r="AB5" s="2" t="n">
        <v>302</v>
      </c>
    </row>
    <row r="6" ht="15.75" customHeight="1">
      <c r="A6" s="6" t="inlineStr">
        <is>
          <t>PAHWPWFINT01</t>
        </is>
      </c>
      <c r="B6" s="6" t="inlineStr">
        <is>
          <t>USAEA1PFSWES09</t>
        </is>
      </c>
      <c r="C6" s="6" t="inlineStr">
        <is>
          <t>PROD</t>
        </is>
      </c>
      <c r="D6" s="6" t="n">
        <v>4</v>
      </c>
      <c r="E6" s="6" t="n">
        <v>8</v>
      </c>
      <c r="F6" s="6" t="inlineStr">
        <is>
          <t>Windows</t>
        </is>
      </c>
      <c r="G6" s="6" t="inlineStr">
        <is>
          <t>Microsoft Windows Server 2025 (64-bit)</t>
        </is>
      </c>
      <c r="H6" s="6" t="inlineStr">
        <is>
          <t>r7a.medium</t>
        </is>
      </c>
      <c r="I6" s="6" t="inlineStr">
        <is>
          <t>r7a.medium</t>
        </is>
      </c>
      <c r="J6" s="6" t="n">
        <v>1</v>
      </c>
      <c r="K6" s="6" t="n">
        <v>8</v>
      </c>
      <c r="L6" s="6" t="n">
        <v>100</v>
      </c>
      <c r="M6" s="6" t="n">
        <v>300</v>
      </c>
      <c r="N6" s="6" t="inlineStr">
        <is>
          <t>US East (N. Virginia)</t>
        </is>
      </c>
      <c r="O6" s="6" t="n">
        <v>8</v>
      </c>
      <c r="P6" s="6">
        <f>PRODUCT(O6,12)</f>
        <v/>
      </c>
      <c r="Q6" s="6" t="n">
        <v>24</v>
      </c>
      <c r="R6" s="6">
        <f>PRODUCT(Q6,12)</f>
        <v/>
      </c>
      <c r="S6" s="6" t="n">
        <v>89.12</v>
      </c>
      <c r="T6" s="6">
        <f>PRODUCT(S6,12)</f>
        <v/>
      </c>
      <c r="U6" s="6" t="n">
        <v>403</v>
      </c>
      <c r="V6" s="6" t="n">
        <v>666</v>
      </c>
      <c r="W6" s="6" t="n">
        <v>70.31</v>
      </c>
      <c r="X6" s="6">
        <f>PRODUCT(W6,12)</f>
        <v/>
      </c>
      <c r="Y6" s="6" t="n">
        <v>441</v>
      </c>
      <c r="Z6" s="6" t="n">
        <v>58.77</v>
      </c>
      <c r="AA6" s="6">
        <f>PRODUCT(Z6,12)</f>
        <v/>
      </c>
      <c r="AB6" s="2" t="n">
        <v>302</v>
      </c>
    </row>
    <row r="7" ht="15.75" customHeight="1">
      <c r="A7" s="9" t="inlineStr">
        <is>
          <t>PAHWPWSAPI01</t>
        </is>
      </c>
      <c r="B7" s="9" t="inlineStr">
        <is>
          <t>USAEA1PWBWES35</t>
        </is>
      </c>
      <c r="C7" s="9" t="inlineStr">
        <is>
          <t>PROD</t>
        </is>
      </c>
      <c r="D7" s="9" t="n">
        <v>4</v>
      </c>
      <c r="E7" s="9" t="n">
        <v>16</v>
      </c>
      <c r="F7" s="9" t="inlineStr">
        <is>
          <t>Windows</t>
        </is>
      </c>
      <c r="G7" s="9" t="inlineStr">
        <is>
          <t>Microsoft Windows Server 2025 (64-bit)</t>
        </is>
      </c>
      <c r="H7" s="9" t="inlineStr">
        <is>
          <t>r5a.large</t>
        </is>
      </c>
      <c r="I7" s="9" t="inlineStr">
        <is>
          <t>r5a.large</t>
        </is>
      </c>
      <c r="J7" s="9" t="n">
        <v>2</v>
      </c>
      <c r="K7" s="9" t="n">
        <v>16</v>
      </c>
      <c r="L7" s="9" t="n">
        <v>120</v>
      </c>
      <c r="M7" s="9" t="n">
        <v>90</v>
      </c>
      <c r="N7" s="9" t="inlineStr">
        <is>
          <t>US East (N. Virginia)</t>
        </is>
      </c>
      <c r="O7" s="9" t="n">
        <v>9.6</v>
      </c>
      <c r="P7" s="9">
        <f>PRODUCT(O7,12)</f>
        <v/>
      </c>
      <c r="Q7" s="9" t="n">
        <v>7.2</v>
      </c>
      <c r="R7" s="9" t="n">
        <v>86.40000000000001</v>
      </c>
      <c r="S7" s="9" t="n">
        <v>149.65</v>
      </c>
      <c r="T7" s="9">
        <f>PRODUCT(S7,12)</f>
        <v/>
      </c>
      <c r="U7" s="9" t="n">
        <v>806</v>
      </c>
      <c r="V7" s="9" t="n">
        <v>990</v>
      </c>
      <c r="W7" s="9" t="n">
        <v>118.99</v>
      </c>
      <c r="X7" s="9">
        <f>PRODUCT(W7,12)</f>
        <v/>
      </c>
      <c r="Y7" s="9" t="n">
        <v>622</v>
      </c>
      <c r="Z7" s="9" t="n">
        <v>102.93</v>
      </c>
      <c r="AA7" s="9">
        <f>PRODUCT(Z7,12)</f>
        <v/>
      </c>
      <c r="AB7" s="2" t="n">
        <v>569</v>
      </c>
    </row>
    <row r="8" ht="30" customHeight="1">
      <c r="A8" s="9" t="inlineStr">
        <is>
          <t>PAHWPAPWSS03</t>
        </is>
      </c>
      <c r="B8" s="10" t="inlineStr">
        <is>
          <t>USAEA1PWBWES27 
USAEA1PWBWES28</t>
        </is>
      </c>
      <c r="C8" s="9" t="inlineStr">
        <is>
          <t>PROD</t>
        </is>
      </c>
      <c r="D8" s="9" t="n">
        <v>4</v>
      </c>
      <c r="E8" s="9" t="n">
        <v>8</v>
      </c>
      <c r="F8" s="9" t="inlineStr">
        <is>
          <t>Windows</t>
        </is>
      </c>
      <c r="G8" s="9" t="inlineStr">
        <is>
          <t>Microsoft Windows Server 2025 (64-bit)</t>
        </is>
      </c>
      <c r="H8" s="9" t="inlineStr">
        <is>
          <t>r7a.medium</t>
        </is>
      </c>
      <c r="I8" s="9" t="inlineStr">
        <is>
          <t>r7a.medium</t>
        </is>
      </c>
      <c r="J8" s="9" t="n">
        <v>1</v>
      </c>
      <c r="K8" s="9" t="n">
        <v>8</v>
      </c>
      <c r="L8" s="9" t="n">
        <v>100</v>
      </c>
      <c r="M8" s="9" t="n"/>
      <c r="N8" s="9" t="inlineStr">
        <is>
          <t>US East (N. Virginia)</t>
        </is>
      </c>
      <c r="O8" s="9" t="n">
        <v>8</v>
      </c>
      <c r="P8" s="9">
        <f>PRODUCT(O8,12)</f>
        <v/>
      </c>
      <c r="Q8" s="9" t="n"/>
      <c r="R8" s="9" t="n"/>
      <c r="S8" s="9" t="n">
        <v>89.12</v>
      </c>
      <c r="T8" s="9">
        <f>PRODUCT(S8,12)</f>
        <v/>
      </c>
      <c r="U8" s="9" t="n">
        <v>403</v>
      </c>
      <c r="V8" s="9" t="n">
        <v>666</v>
      </c>
      <c r="W8" s="9" t="n">
        <v>70.31</v>
      </c>
      <c r="X8" s="9">
        <f>PRODUCT(W8,12)</f>
        <v/>
      </c>
      <c r="Y8" s="9" t="n">
        <v>441</v>
      </c>
      <c r="Z8" s="9" t="n">
        <v>58.77</v>
      </c>
      <c r="AA8" s="9">
        <f>PRODUCT(Z8,12)</f>
        <v/>
      </c>
      <c r="AB8" s="2" t="n">
        <v>302</v>
      </c>
    </row>
    <row r="9" ht="15.75" customHeight="1">
      <c r="A9" s="9" t="inlineStr">
        <is>
          <t>PAHWPAPWEF02</t>
        </is>
      </c>
      <c r="B9" s="9" t="inlineStr">
        <is>
          <t>USAEA1PAPWES34</t>
        </is>
      </c>
      <c r="C9" s="9" t="inlineStr">
        <is>
          <t>PROD</t>
        </is>
      </c>
      <c r="D9" s="9" t="n">
        <v>4</v>
      </c>
      <c r="E9" s="9" t="n">
        <v>8</v>
      </c>
      <c r="F9" s="9" t="inlineStr">
        <is>
          <t>Windows</t>
        </is>
      </c>
      <c r="G9" s="9" t="inlineStr">
        <is>
          <t>Microsoft Windows Server 2025 (64-bit)</t>
        </is>
      </c>
      <c r="H9" s="9" t="inlineStr">
        <is>
          <t>r7a.medium</t>
        </is>
      </c>
      <c r="I9" s="9" t="inlineStr">
        <is>
          <t>r7a.medium</t>
        </is>
      </c>
      <c r="J9" s="9" t="n">
        <v>1</v>
      </c>
      <c r="K9" s="9" t="n">
        <v>8</v>
      </c>
      <c r="L9" s="9" t="n">
        <v>100</v>
      </c>
      <c r="M9" s="9" t="n">
        <v>90</v>
      </c>
      <c r="N9" s="9" t="inlineStr">
        <is>
          <t>US East (N. Virginia)</t>
        </is>
      </c>
      <c r="O9" s="9" t="n">
        <v>8</v>
      </c>
      <c r="P9" s="9">
        <f>PRODUCT(O9,12)</f>
        <v/>
      </c>
      <c r="Q9" s="9" t="n">
        <v>7.2</v>
      </c>
      <c r="R9" s="9" t="n">
        <v>86.40000000000001</v>
      </c>
      <c r="S9" s="9" t="n">
        <v>89.12</v>
      </c>
      <c r="T9" s="9">
        <f>PRODUCT(S9,12)</f>
        <v/>
      </c>
      <c r="U9" s="9" t="n">
        <v>403</v>
      </c>
      <c r="V9" s="9" t="n">
        <v>666</v>
      </c>
      <c r="W9" s="9" t="n">
        <v>70.31</v>
      </c>
      <c r="X9" s="9">
        <f>PRODUCT(W9,12)</f>
        <v/>
      </c>
      <c r="Y9" s="9" t="n">
        <v>441</v>
      </c>
      <c r="Z9" s="9" t="n">
        <v>58.77</v>
      </c>
      <c r="AA9" s="9">
        <f>PRODUCT(Z9,12)</f>
        <v/>
      </c>
      <c r="AB9" s="2" t="n">
        <v>302</v>
      </c>
    </row>
    <row r="10" ht="30.75" customHeight="1">
      <c r="A10" s="9" t="inlineStr">
        <is>
          <t>PAHWPAPTUI03</t>
        </is>
      </c>
      <c r="B10" s="10" t="inlineStr">
        <is>
          <t>USAEA1PWBWES21 
USAEA1PWBWES22</t>
        </is>
      </c>
      <c r="C10" s="9" t="inlineStr">
        <is>
          <t>PROD</t>
        </is>
      </c>
      <c r="D10" s="9" t="n">
        <v>4</v>
      </c>
      <c r="E10" s="9" t="n">
        <v>8</v>
      </c>
      <c r="F10" s="9" t="inlineStr">
        <is>
          <t>Windows</t>
        </is>
      </c>
      <c r="G10" s="9" t="inlineStr">
        <is>
          <t>Microsoft Windows Server 2025 (64-bit) [ASG app1 desplegado]</t>
        </is>
      </c>
      <c r="H10" s="9" t="inlineStr">
        <is>
          <t>r7a.medium</t>
        </is>
      </c>
      <c r="I10" s="9" t="inlineStr">
        <is>
          <t>r7a.medium</t>
        </is>
      </c>
      <c r="J10" s="9" t="n">
        <v>1</v>
      </c>
      <c r="K10" s="9" t="n">
        <v>8</v>
      </c>
      <c r="L10" s="9" t="n">
        <v>100</v>
      </c>
      <c r="M10" s="9" t="n"/>
      <c r="N10" s="9" t="inlineStr">
        <is>
          <t>US East (N. Virginia)</t>
        </is>
      </c>
      <c r="O10" s="9" t="n">
        <v>8</v>
      </c>
      <c r="P10" s="9">
        <f>PRODUCT(O10,12)</f>
        <v/>
      </c>
      <c r="Q10" s="9" t="n"/>
      <c r="R10" s="9" t="n"/>
      <c r="S10" s="9" t="n">
        <v>89.12</v>
      </c>
      <c r="T10" s="9">
        <f>PRODUCT(S10,12)</f>
        <v/>
      </c>
      <c r="U10" s="9" t="n">
        <v>403</v>
      </c>
      <c r="V10" s="9" t="n">
        <v>666</v>
      </c>
      <c r="W10" s="9" t="n">
        <v>70.31</v>
      </c>
      <c r="X10" s="9">
        <f>PRODUCT(W10,12)</f>
        <v/>
      </c>
      <c r="Y10" s="9" t="n">
        <v>441</v>
      </c>
      <c r="Z10" s="9" t="n">
        <v>58.77</v>
      </c>
      <c r="AA10" s="9">
        <f>PRODUCT(Z10,12)</f>
        <v/>
      </c>
      <c r="AB10" s="2" t="n">
        <v>302</v>
      </c>
    </row>
    <row r="11" ht="30" customHeight="1">
      <c r="A11" s="9" t="inlineStr">
        <is>
          <t>PAHWPCHECS01</t>
        </is>
      </c>
      <c r="B11" s="9" t="inlineStr">
        <is>
          <t>USAEA1PFSWES08</t>
        </is>
      </c>
      <c r="C11" s="9" t="inlineStr">
        <is>
          <t>PROD</t>
        </is>
      </c>
      <c r="D11" s="9" t="n">
        <v>4</v>
      </c>
      <c r="E11" s="9" t="n">
        <v>16</v>
      </c>
      <c r="F11" s="9" t="inlineStr">
        <is>
          <t>Windows</t>
        </is>
      </c>
      <c r="G11" s="9" t="inlineStr">
        <is>
          <t>Microsoft Windows Server 2025 (64-bit)</t>
        </is>
      </c>
      <c r="H11" s="9" t="inlineStr">
        <is>
          <t>r5a.large</t>
        </is>
      </c>
      <c r="I11" s="9" t="inlineStr">
        <is>
          <t>r5a.large</t>
        </is>
      </c>
      <c r="J11" s="9" t="n">
        <v>2</v>
      </c>
      <c r="K11" s="9" t="n">
        <v>16</v>
      </c>
      <c r="L11" s="9" t="n">
        <v>120</v>
      </c>
      <c r="M11" s="9" t="n">
        <v>90</v>
      </c>
      <c r="N11" s="9" t="inlineStr">
        <is>
          <t>US East (N. Virginia)</t>
        </is>
      </c>
      <c r="O11" s="9" t="n">
        <v>9.6</v>
      </c>
      <c r="P11" s="9">
        <f>PRODUCT(O11,12)</f>
        <v/>
      </c>
      <c r="Q11" s="9" t="n">
        <v>7.2</v>
      </c>
      <c r="R11" s="9" t="n">
        <v>86.40000000000001</v>
      </c>
      <c r="S11" s="9" t="n">
        <v>149.65</v>
      </c>
      <c r="T11" s="9">
        <f>PRODUCT(S11,12)</f>
        <v/>
      </c>
      <c r="U11" s="9" t="n">
        <v>806</v>
      </c>
      <c r="V11" s="9" t="n">
        <v>990</v>
      </c>
      <c r="W11" s="9" t="n">
        <v>118.99</v>
      </c>
      <c r="X11" s="9">
        <f>PRODUCT(W11,12)</f>
        <v/>
      </c>
      <c r="Y11" s="9" t="n">
        <v>622</v>
      </c>
      <c r="Z11" s="9" t="n">
        <v>102.93</v>
      </c>
      <c r="AA11" s="9">
        <f>PRODUCT(Z11,12)</f>
        <v/>
      </c>
      <c r="AB11" s="2" t="n">
        <v>569</v>
      </c>
    </row>
    <row r="12" ht="15.75" customHeight="1">
      <c r="A12" s="9" t="inlineStr">
        <is>
          <t>pahqpapapp02</t>
        </is>
      </c>
      <c r="B12" s="9" t="inlineStr">
        <is>
          <t>USAEA1PAPWES33</t>
        </is>
      </c>
      <c r="C12" s="9" t="inlineStr">
        <is>
          <t>PROD</t>
        </is>
      </c>
      <c r="D12" s="9" t="n">
        <v>4</v>
      </c>
      <c r="E12" s="9" t="n">
        <v>8</v>
      </c>
      <c r="F12" s="9" t="inlineStr">
        <is>
          <t>Windows</t>
        </is>
      </c>
      <c r="G12" s="9" t="inlineStr">
        <is>
          <t>Windows Server 2025 Standard</t>
        </is>
      </c>
      <c r="H12" s="9" t="inlineStr">
        <is>
          <t>r7a.medium</t>
        </is>
      </c>
      <c r="I12" s="9" t="inlineStr">
        <is>
          <t>r7a.medium</t>
        </is>
      </c>
      <c r="J12" s="9" t="n">
        <v>4</v>
      </c>
      <c r="K12" s="9" t="n">
        <v>8</v>
      </c>
      <c r="L12" s="9" t="n">
        <v>280</v>
      </c>
      <c r="M12" s="9" t="n"/>
      <c r="N12" s="9" t="inlineStr">
        <is>
          <t>US East (N. Virginia)</t>
        </is>
      </c>
      <c r="O12" s="9" t="n">
        <v>22.4</v>
      </c>
      <c r="P12" s="9">
        <f>PRODUCT(O12,12)</f>
        <v/>
      </c>
      <c r="Q12" s="9" t="n"/>
      <c r="R12" s="9" t="n"/>
      <c r="S12" s="9" t="n">
        <v>89.12</v>
      </c>
      <c r="T12" s="9">
        <f>PRODUCT(S12,12)</f>
        <v/>
      </c>
      <c r="U12" s="9" t="n">
        <v>402.96</v>
      </c>
      <c r="V12" s="9" t="n">
        <v>666.46</v>
      </c>
      <c r="W12" s="9" t="n">
        <v>70.31</v>
      </c>
      <c r="X12" s="9">
        <f>PRODUCT(W12,12)</f>
        <v/>
      </c>
      <c r="Y12" s="9" t="n">
        <v>440.8</v>
      </c>
      <c r="Z12" s="9" t="n">
        <v>58.77</v>
      </c>
      <c r="AA12" s="9">
        <f>PRODUCT(Z12,12)</f>
        <v/>
      </c>
      <c r="AB12" s="2" t="n">
        <v>302.31</v>
      </c>
    </row>
    <row r="13" ht="15.75" customHeight="1">
      <c r="A13" s="9" t="inlineStr">
        <is>
          <t>pahwpapbof01</t>
        </is>
      </c>
      <c r="B13" s="9" t="n"/>
      <c r="C13" s="9" t="inlineStr">
        <is>
          <t>PROD</t>
        </is>
      </c>
      <c r="D13" s="9" t="n">
        <v>4</v>
      </c>
      <c r="E13" s="9" t="n">
        <v>2</v>
      </c>
      <c r="F13" s="9" t="inlineStr">
        <is>
          <t>Linux</t>
        </is>
      </c>
      <c r="G13" s="9" t="inlineStr">
        <is>
          <t>Ubuntu 22.04.3 LTS TBD</t>
        </is>
      </c>
      <c r="H13" s="9" t="inlineStr">
        <is>
          <t>c5a.large</t>
        </is>
      </c>
      <c r="I13" s="9" t="inlineStr">
        <is>
          <t>c5a.large</t>
        </is>
      </c>
      <c r="J13" s="9" t="n">
        <v>2</v>
      </c>
      <c r="K13" s="9" t="n">
        <v>4</v>
      </c>
      <c r="L13" s="9" t="n">
        <v>210</v>
      </c>
      <c r="M13" s="9" t="n"/>
      <c r="N13" s="9" t="inlineStr">
        <is>
          <t>US East (N. Virginia)</t>
        </is>
      </c>
      <c r="O13" s="9" t="n">
        <v>16.8</v>
      </c>
      <c r="P13" s="9">
        <f>PRODUCT(O13,12)</f>
        <v/>
      </c>
      <c r="Q13" s="9" t="n"/>
      <c r="R13" s="9" t="n"/>
      <c r="S13" s="9" t="n">
        <v>56.21</v>
      </c>
      <c r="T13" s="9">
        <f>PRODUCT(S13,12)</f>
        <v/>
      </c>
      <c r="U13" s="9" t="n">
        <v>0</v>
      </c>
      <c r="V13" s="9" t="n">
        <v>674.52</v>
      </c>
      <c r="W13" s="9" t="n">
        <v>35.77</v>
      </c>
      <c r="X13" s="9">
        <f>PRODUCT(W13,12)</f>
        <v/>
      </c>
      <c r="Y13" s="9" t="n">
        <v>429.24</v>
      </c>
      <c r="Z13" s="9" t="n">
        <v>24.09</v>
      </c>
      <c r="AA13" s="9">
        <f>PRODUCT(Z13,12)</f>
        <v/>
      </c>
      <c r="AB13" s="2" t="n">
        <v>289.08</v>
      </c>
    </row>
    <row r="14" ht="15.75" customHeight="1">
      <c r="A14" s="9" t="inlineStr">
        <is>
          <t>RDS produccion (multiaz1)</t>
        </is>
      </c>
      <c r="B14" s="9" t="n"/>
      <c r="C14" s="9" t="inlineStr">
        <is>
          <t>PROD</t>
        </is>
      </c>
      <c r="D14" s="9" t="n">
        <v>16</v>
      </c>
      <c r="E14" s="9" t="n">
        <v>128</v>
      </c>
      <c r="F14" s="9" t="inlineStr">
        <is>
          <t>SQL Server - Standard</t>
        </is>
      </c>
      <c r="G14" s="9" t="inlineStr">
        <is>
          <t>SQL Server Standard Edition 15.x (Multi-AZ, license-included)</t>
        </is>
      </c>
      <c r="H14" s="9" t="inlineStr">
        <is>
          <t>db.r6i.4xlarge</t>
        </is>
      </c>
      <c r="I14" s="9" t="inlineStr">
        <is>
          <t>db.r6i.4xlarge</t>
        </is>
      </c>
      <c r="J14" s="9" t="n">
        <v>16</v>
      </c>
      <c r="K14" s="9" t="n">
        <v>128</v>
      </c>
      <c r="L14" s="9" t="n">
        <v>1700</v>
      </c>
      <c r="M14" s="9" t="n"/>
      <c r="N14" s="9" t="inlineStr">
        <is>
          <t>US East (N. Virginia)</t>
        </is>
      </c>
      <c r="O14" s="9" t="n">
        <v>391</v>
      </c>
      <c r="P14" s="9">
        <f>PRODUCT(O14,12)</f>
        <v/>
      </c>
      <c r="Q14" s="9" t="n"/>
      <c r="R14" s="9" t="n"/>
      <c r="S14" s="9" t="n">
        <v>8876.799999999999</v>
      </c>
      <c r="T14" s="9">
        <f>PRODUCT(S14,12)</f>
        <v/>
      </c>
      <c r="U14" s="9" t="n">
        <v>54382.08</v>
      </c>
      <c r="V14" s="9" t="n">
        <v>52139.52</v>
      </c>
      <c r="W14" s="9" t="n">
        <v>8388.58</v>
      </c>
      <c r="X14" s="9">
        <f>PRODUCT(W14,12)</f>
        <v/>
      </c>
      <c r="Y14" s="9" t="n"/>
      <c r="Z14" s="9">
        <f>AA14/12</f>
        <v/>
      </c>
      <c r="AA14" s="9" t="n">
        <v>250539</v>
      </c>
      <c r="AB14" s="2" t="inlineStr">
        <is>
          <t>NA</t>
        </is>
      </c>
    </row>
    <row r="15" ht="15.75" customHeight="1">
      <c r="A15" s="9" t="inlineStr">
        <is>
          <t>RDS procesos (standalone1)</t>
        </is>
      </c>
      <c r="B15" s="9" t="n"/>
      <c r="C15" s="9" t="inlineStr">
        <is>
          <t>PROD</t>
        </is>
      </c>
      <c r="D15" s="9" t="n">
        <v>8</v>
      </c>
      <c r="E15" s="9" t="n">
        <v>64</v>
      </c>
      <c r="F15" s="9" t="inlineStr">
        <is>
          <t>SQL Server - Standard</t>
        </is>
      </c>
      <c r="G15" s="9" t="inlineStr">
        <is>
          <t>SQL Server Standard Edition 15.x (Single-AZ, license-included)</t>
        </is>
      </c>
      <c r="H15" s="9" t="inlineStr">
        <is>
          <t>db.r6i.2xlarge</t>
        </is>
      </c>
      <c r="I15" s="9" t="inlineStr">
        <is>
          <t>db.r6i.2xlarge</t>
        </is>
      </c>
      <c r="J15" s="9" t="n">
        <v>8</v>
      </c>
      <c r="K15" s="9" t="n">
        <v>64</v>
      </c>
      <c r="L15" s="9" t="n">
        <v>2900</v>
      </c>
      <c r="M15" s="9" t="n"/>
      <c r="N15" s="9" t="inlineStr">
        <is>
          <t>US East (N. Virginia)</t>
        </is>
      </c>
      <c r="O15" s="9" t="n">
        <v>333.5</v>
      </c>
      <c r="P15" s="9">
        <f>PRODUCT(O15,12)</f>
        <v/>
      </c>
      <c r="Q15" s="9" t="n"/>
      <c r="R15" s="9" t="n"/>
      <c r="S15" s="9" t="n">
        <v>2219.2</v>
      </c>
      <c r="T15" s="9">
        <f>PRODUCT(S15,12)</f>
        <v/>
      </c>
      <c r="U15" s="9" t="n">
        <v>13595.52</v>
      </c>
      <c r="V15" s="9" t="n">
        <v>13034.88</v>
      </c>
      <c r="W15" s="9" t="n">
        <v>2097.14</v>
      </c>
      <c r="X15" s="9">
        <f>PRODUCT(W15,12)</f>
        <v/>
      </c>
      <c r="Y15" s="9" t="n"/>
      <c r="Z15" s="9">
        <f>AA15/12</f>
        <v/>
      </c>
      <c r="AA15" s="9" t="n">
        <v>62635</v>
      </c>
      <c r="AB15" s="2" t="inlineStr">
        <is>
          <t>NA</t>
        </is>
      </c>
    </row>
    <row r="16" ht="15.75" customHeight="1">
      <c r="A16" s="7" t="inlineStr">
        <is>
          <t>FSx Windows (intelisrcpa-prd)</t>
        </is>
      </c>
      <c r="B16" s="6" t="n"/>
      <c r="C16" s="6" t="inlineStr">
        <is>
          <t>PROD</t>
        </is>
      </c>
      <c r="D16" s="6" t="n"/>
      <c r="E16" s="6" t="n"/>
      <c r="F16" s="6" t="inlineStr">
        <is>
          <t>Windows (FSx)</t>
        </is>
      </c>
      <c r="G16" s="6" t="inlineStr">
        <is>
          <t>FSx Windows File Server Single-AZ SSD (64 MBps, backup 30d)</t>
        </is>
      </c>
      <c r="H16" s="6" t="inlineStr">
        <is>
          <t>FSx SINGLE_AZ_1</t>
        </is>
      </c>
      <c r="I16" s="6" t="inlineStr">
        <is>
          <t>FSx SINGLE_AZ_1</t>
        </is>
      </c>
      <c r="J16" s="6" t="n"/>
      <c r="K16" s="6" t="n"/>
      <c r="L16" s="6" t="n">
        <v>100</v>
      </c>
      <c r="M16" s="6" t="n"/>
      <c r="N16" s="6" t="inlineStr">
        <is>
          <t>US East (N. Virginia)</t>
        </is>
      </c>
      <c r="O16" s="6" t="n"/>
      <c r="P16" s="6" t="n"/>
      <c r="Q16" s="6" t="n"/>
      <c r="R16" s="6" t="n"/>
      <c r="S16" s="6" t="n">
        <v>147.3</v>
      </c>
      <c r="T16" s="6">
        <f>PRODUCT(S16,12)</f>
        <v/>
      </c>
      <c r="U16" s="6" t="n">
        <v>0</v>
      </c>
      <c r="V16" s="6" t="n">
        <v>1689.6</v>
      </c>
      <c r="W16" s="6" t="n"/>
      <c r="X16" s="6" t="n"/>
      <c r="Y16" s="6" t="n"/>
      <c r="Z16" s="6" t="n"/>
      <c r="AA16" s="6" t="n"/>
      <c r="AB16" s="2" t="n"/>
    </row>
    <row r="17" ht="15.75" customHeight="1">
      <c r="A17" s="7" t="inlineStr">
        <is>
          <t>AMI Builder (temporal)</t>
        </is>
      </c>
      <c r="B17" s="6" t="n"/>
      <c r="C17" s="6" t="inlineStr">
        <is>
          <t>PROD</t>
        </is>
      </c>
      <c r="D17" s="6" t="n">
        <v>2</v>
      </c>
      <c r="E17" s="6" t="n">
        <v>8</v>
      </c>
      <c r="F17" s="6" t="inlineStr">
        <is>
          <t>Windows</t>
        </is>
      </c>
      <c r="G17" s="6" t="inlineStr">
        <is>
          <t>Microsoft Windows Server 2025 (AMI Builder - temporal)</t>
        </is>
      </c>
      <c r="H17" s="6" t="inlineStr">
        <is>
          <t>m5.large</t>
        </is>
      </c>
      <c r="I17" s="6" t="inlineStr">
        <is>
          <t>m5.large</t>
        </is>
      </c>
      <c r="J17" s="6" t="n">
        <v>2</v>
      </c>
      <c r="K17" s="6" t="n">
        <v>8</v>
      </c>
      <c r="L17" s="6" t="n">
        <v>100</v>
      </c>
      <c r="M17" s="6" t="n"/>
      <c r="N17" s="6" t="inlineStr">
        <is>
          <t>US East (N. Virginia)</t>
        </is>
      </c>
      <c r="O17" s="6" t="n">
        <v>8</v>
      </c>
      <c r="P17" s="6">
        <f>PRODUCT(O17,12)</f>
        <v/>
      </c>
      <c r="Q17" s="6" t="n"/>
      <c r="R17" s="6" t="n"/>
      <c r="S17" s="6" t="n">
        <v>137.24</v>
      </c>
      <c r="T17" s="6">
        <f>PRODUCT(S17,12)</f>
        <v/>
      </c>
      <c r="U17" s="6" t="n">
        <v>805.92</v>
      </c>
      <c r="V17" s="6" t="n">
        <v>840.96</v>
      </c>
      <c r="W17" s="6" t="n">
        <v>110.96</v>
      </c>
      <c r="X17" s="6">
        <f>PRODUCT(W17,12)</f>
        <v/>
      </c>
      <c r="Y17" s="6" t="n">
        <v>525.6</v>
      </c>
      <c r="Z17" s="6" t="n">
        <v>97.09</v>
      </c>
      <c r="AA17" s="6">
        <f>PRODUCT(Z17,12)</f>
        <v/>
      </c>
      <c r="AB17" s="2" t="n">
        <v>359.16</v>
      </c>
    </row>
    <row r="18" ht="15.75" customHeight="1">
      <c r="A18" s="7" t="inlineStr">
        <is>
          <t>DMS replication</t>
        </is>
      </c>
      <c r="B18" s="6" t="n"/>
      <c r="C18" s="6" t="inlineStr">
        <is>
          <t>PROD</t>
        </is>
      </c>
      <c r="D18" s="6" t="n">
        <v>8</v>
      </c>
      <c r="E18" s="6" t="n">
        <v>16</v>
      </c>
      <c r="F18" s="6" t="inlineStr">
        <is>
          <t>DMS</t>
        </is>
      </c>
      <c r="G18" s="6" t="inlineStr">
        <is>
          <t>DMS c5.2xlarge Single-AZ (engine 3.6.1)</t>
        </is>
      </c>
      <c r="H18" s="6" t="inlineStr">
        <is>
          <t>dms.c5.2xlarge</t>
        </is>
      </c>
      <c r="I18" s="6" t="inlineStr">
        <is>
          <t>dms.c5.2xlarge</t>
        </is>
      </c>
      <c r="J18" s="6" t="n">
        <v>8</v>
      </c>
      <c r="K18" s="6" t="n">
        <v>16</v>
      </c>
      <c r="L18" s="6" t="n">
        <v>50</v>
      </c>
      <c r="M18" s="6" t="n"/>
      <c r="N18" s="6" t="inlineStr">
        <is>
          <t>US East (N. Virginia)</t>
        </is>
      </c>
      <c r="O18" s="6" t="n">
        <v>5.75</v>
      </c>
      <c r="P18" s="6">
        <f>PRODUCT(O18,12)</f>
        <v/>
      </c>
      <c r="Q18" s="6" t="n"/>
      <c r="R18" s="6" t="n"/>
      <c r="S18" s="6" t="n">
        <v>347.48</v>
      </c>
      <c r="T18" s="6">
        <f>PRODUCT(S18,12)</f>
        <v/>
      </c>
      <c r="U18" s="6" t="n">
        <v>0</v>
      </c>
      <c r="V18" s="6" t="n">
        <v>4169.76</v>
      </c>
      <c r="W18" s="6" t="n"/>
      <c r="X18" s="6" t="n"/>
      <c r="Y18" s="6" t="n"/>
      <c r="Z18" s="6" t="n"/>
      <c r="AA18" s="6" t="n"/>
      <c r="AB18" s="2" t="n"/>
    </row>
    <row r="19">
      <c r="A19" s="9" t="inlineStr">
        <is>
          <t>Application Load Balancer (eec-aws-us-eits-prod)</t>
        </is>
      </c>
      <c r="B19" s="9" t="n"/>
      <c r="C19" s="9" t="inlineStr">
        <is>
          <t>PROD</t>
        </is>
      </c>
      <c r="D19" s="9" t="n"/>
      <c r="E19" s="9" t="n"/>
      <c r="F19" s="9" t="inlineStr">
        <is>
          <t>Servicio</t>
        </is>
      </c>
      <c r="G19" s="9" t="inlineStr">
        <is>
          <t>ALB internal (4 TG/host-header)</t>
        </is>
      </c>
      <c r="H19" s="9" t="inlineStr">
        <is>
          <t>-</t>
        </is>
      </c>
      <c r="I19" s="9" t="inlineStr">
        <is>
          <t>-</t>
        </is>
      </c>
      <c r="J19" s="9" t="n"/>
      <c r="K19" s="9" t="n"/>
      <c r="L19" s="9" t="n"/>
      <c r="M19" s="9" t="n"/>
      <c r="N19" s="9" t="inlineStr">
        <is>
          <t>US East (N. Virginia)</t>
        </is>
      </c>
      <c r="O19" s="9" t="n"/>
      <c r="P19" s="9" t="n"/>
      <c r="Q19" s="9" t="n"/>
      <c r="R19" s="9" t="n"/>
      <c r="S19" s="9" t="n">
        <v>39.78</v>
      </c>
      <c r="T19" s="9" t="n">
        <v>477.36</v>
      </c>
      <c r="U19" s="9" t="n"/>
      <c r="V19" s="9" t="n"/>
      <c r="W19" s="9" t="n"/>
      <c r="X19" s="9" t="n"/>
      <c r="Y19" s="9" t="n"/>
      <c r="Z19" s="9" t="n"/>
      <c r="AA19" s="9" t="n"/>
      <c r="AB19" s="2" t="n"/>
    </row>
    <row r="20" ht="15.75" customHeight="1">
      <c r="A20" s="9" t="inlineStr">
        <is>
          <t>ASG Lifecycle (Lambda leave-domain)</t>
        </is>
      </c>
      <c r="B20" s="9" t="n"/>
      <c r="C20" s="9" t="inlineStr">
        <is>
          <t>PROD</t>
        </is>
      </c>
      <c r="D20" s="9" t="n"/>
      <c r="E20" s="9" t="n"/>
      <c r="F20" s="9" t="inlineStr">
        <is>
          <t>Servicio</t>
        </is>
      </c>
      <c r="G20" s="9" t="inlineStr">
        <is>
          <t>Lambda py3.12 128MB + EventBridge + CW Logs</t>
        </is>
      </c>
      <c r="H20" s="9" t="inlineStr">
        <is>
          <t>-</t>
        </is>
      </c>
      <c r="I20" s="9" t="inlineStr">
        <is>
          <t>-</t>
        </is>
      </c>
      <c r="J20" s="9" t="n"/>
      <c r="K20" s="9" t="n"/>
      <c r="L20" s="9" t="n"/>
      <c r="M20" s="9" t="n"/>
      <c r="N20" s="9" t="inlineStr">
        <is>
          <t>US East (N. Virginia)</t>
        </is>
      </c>
      <c r="O20" s="9" t="n"/>
      <c r="P20" s="9" t="n"/>
      <c r="Q20" s="9" t="n"/>
      <c r="R20" s="9" t="n"/>
      <c r="S20" s="9" t="n">
        <v>0.09</v>
      </c>
      <c r="T20" s="9" t="n">
        <v>1.08</v>
      </c>
      <c r="U20" s="9" t="n"/>
      <c r="V20" s="9" t="n"/>
      <c r="W20" s="9" t="n"/>
      <c r="X20" s="9" t="n"/>
      <c r="Y20" s="9" t="n"/>
      <c r="Z20" s="9" t="n"/>
      <c r="AA20" s="9" t="n"/>
      <c r="AB20" s="2" t="n"/>
    </row>
    <row r="21" ht="15.75" customHeight="1">
      <c r="A21" s="9" t="inlineStr">
        <is>
          <t>S3 (rds-backup + rds-ssis + backup-reports)</t>
        </is>
      </c>
      <c r="B21" s="9" t="n"/>
      <c r="C21" s="9" t="inlineStr">
        <is>
          <t>PROD</t>
        </is>
      </c>
      <c r="D21" s="9" t="n"/>
      <c r="E21" s="9" t="n"/>
      <c r="F21" s="9" t="inlineStr">
        <is>
          <t>Servicio</t>
        </is>
      </c>
      <c r="G21" s="9" t="inlineStr">
        <is>
          <t>3 buckets Standard</t>
        </is>
      </c>
      <c r="H21" s="9" t="inlineStr">
        <is>
          <t>-</t>
        </is>
      </c>
      <c r="I21" s="9" t="inlineStr">
        <is>
          <t>-</t>
        </is>
      </c>
      <c r="J21" s="9" t="n"/>
      <c r="K21" s="9" t="n"/>
      <c r="L21" s="9" t="n"/>
      <c r="M21" s="9" t="n"/>
      <c r="N21" s="9" t="inlineStr">
        <is>
          <t>US East (N. Virginia)</t>
        </is>
      </c>
      <c r="O21" s="9" t="n"/>
      <c r="P21" s="9" t="n"/>
      <c r="Q21" s="9" t="n"/>
      <c r="R21" s="9" t="n"/>
      <c r="S21" s="9" t="n">
        <v>1.15</v>
      </c>
      <c r="T21" s="9" t="n">
        <v>13.8</v>
      </c>
      <c r="U21" s="9" t="n"/>
      <c r="V21" s="9" t="n"/>
      <c r="W21" s="9" t="n"/>
      <c r="X21" s="9" t="n"/>
      <c r="Y21" s="9" t="n"/>
      <c r="Z21" s="9" t="n"/>
      <c r="AA21" s="9" t="n"/>
      <c r="AB21" s="2" t="n"/>
    </row>
    <row r="22" ht="15.75" customHeight="1">
      <c r="A22" s="9" t="inlineStr">
        <is>
          <t>Secrets Manager (AD/DMS credentials)</t>
        </is>
      </c>
      <c r="B22" s="9" t="n"/>
      <c r="C22" s="9" t="inlineStr">
        <is>
          <t>PROD</t>
        </is>
      </c>
      <c r="D22" s="9" t="n"/>
      <c r="E22" s="9" t="n"/>
      <c r="F22" s="9" t="inlineStr">
        <is>
          <t>Servicio</t>
        </is>
      </c>
      <c r="G22" s="9" t="inlineStr">
        <is>
          <t>5 secrets</t>
        </is>
      </c>
      <c r="H22" s="9" t="inlineStr">
        <is>
          <t>-</t>
        </is>
      </c>
      <c r="I22" s="9" t="inlineStr">
        <is>
          <t>-</t>
        </is>
      </c>
      <c r="J22" s="9" t="n"/>
      <c r="K22" s="9" t="n"/>
      <c r="L22" s="9" t="n"/>
      <c r="M22" s="9" t="n"/>
      <c r="N22" s="9" t="inlineStr">
        <is>
          <t>US East (N. Virginia)</t>
        </is>
      </c>
      <c r="O22" s="9" t="n"/>
      <c r="P22" s="9" t="n"/>
      <c r="Q22" s="9" t="n"/>
      <c r="R22" s="9" t="n"/>
      <c r="S22" s="9" t="n">
        <v>2</v>
      </c>
      <c r="T22" s="9" t="n">
        <v>24</v>
      </c>
      <c r="U22" s="9" t="n"/>
      <c r="V22" s="9" t="n"/>
      <c r="W22" s="9" t="n"/>
      <c r="X22" s="9" t="n"/>
      <c r="Y22" s="9" t="n"/>
      <c r="Z22" s="9" t="n"/>
      <c r="AA22" s="9" t="n"/>
      <c r="AB22" s="2" t="n"/>
    </row>
    <row r="23" ht="15.75" customHeight="1">
      <c r="A23" s="9" t="inlineStr">
        <is>
          <t>CloudWatch (alarmas ALB/ASG + metricas)</t>
        </is>
      </c>
      <c r="B23" s="9" t="n"/>
      <c r="C23" s="9" t="inlineStr">
        <is>
          <t>PROD</t>
        </is>
      </c>
      <c r="D23" s="9" t="n"/>
      <c r="E23" s="9" t="n"/>
      <c r="F23" s="9" t="inlineStr">
        <is>
          <t>Servicio</t>
        </is>
      </c>
      <c r="G23" s="9" t="inlineStr">
        <is>
          <t>8 alarmas</t>
        </is>
      </c>
      <c r="H23" s="9" t="inlineStr">
        <is>
          <t>-</t>
        </is>
      </c>
      <c r="I23" s="9" t="inlineStr">
        <is>
          <t>-</t>
        </is>
      </c>
      <c r="J23" s="9" t="n"/>
      <c r="K23" s="9" t="n"/>
      <c r="L23" s="9" t="n"/>
      <c r="M23" s="9" t="n"/>
      <c r="N23" s="9" t="inlineStr">
        <is>
          <t>US East (N. Virginia)</t>
        </is>
      </c>
      <c r="O23" s="9" t="n"/>
      <c r="P23" s="9" t="n"/>
      <c r="Q23" s="9" t="n"/>
      <c r="R23" s="9" t="n"/>
      <c r="S23" s="9" t="n">
        <v>0.8</v>
      </c>
      <c r="T23" s="9" t="n">
        <v>9.6</v>
      </c>
      <c r="U23" s="9" t="n"/>
      <c r="V23" s="9" t="n"/>
      <c r="W23" s="9" t="n"/>
      <c r="X23" s="9" t="n"/>
      <c r="Y23" s="9" t="n"/>
      <c r="Z23" s="9" t="n"/>
      <c r="AA23" s="9" t="n"/>
      <c r="AB23" s="2" t="n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5" right="0.75" top="1" bottom="1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2026-06-19T17:25:49Z</dcterms:created>
  <dcterms:modified xmlns:dcterms="http://purl.org/dc/terms/" xmlns:xsi="http://www.w3.org/2001/XMLSchema-instance" xsi:type="dcterms:W3CDTF">2026-09-01T19:46:28Z</dcterms:modified>
  <cp:lastModifiedBy>Sepulveda.ext, Javier</cp:lastModifiedBy>
</cp:coreProperties>
</file>