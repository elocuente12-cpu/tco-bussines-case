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Read Me" sheetId="1" state="visible" r:id="rId1"/>
    <sheet xmlns:r="http://schemas.openxmlformats.org/officeDocument/2006/relationships" name="Glossary" sheetId="2" state="visible" r:id="rId2"/>
    <sheet xmlns:r="http://schemas.openxmlformats.org/officeDocument/2006/relationships" name="Shared Tenancy Analysis" sheetId="3" state="visible" r:id="rId3"/>
  </sheets>
  <definedNames>
    <definedName name="_xlnm._FilterDatabase" localSheetId="2" hidden="1">'Shared Tenancy Analysis'!$A$1:$X$15</definedName>
  </definedNames>
  <calcPr calcId="191029" fullCalcOnLoad="1"/>
</workbook>
</file>

<file path=xl/styles.xml><?xml version="1.0" encoding="utf-8"?>
<styleSheet xmlns="http://schemas.openxmlformats.org/spreadsheetml/2006/main">
  <numFmts count="1">
    <numFmt numFmtId="164" formatCode="\$#,##0"/>
  </numFmts>
  <fonts count="13">
    <font>
      <name val="Aptos Narrow"/>
      <color theme="1"/>
      <sz val="12"/>
      <scheme val="minor"/>
    </font>
    <font>
      <name val="Aptos Narrow"/>
      <color theme="1"/>
      <sz val="12"/>
    </font>
    <font>
      <name val="Amazon Ember Medium"/>
      <b val="1"/>
      <color theme="1"/>
      <sz val="18"/>
    </font>
    <font>
      <name val="Aptos Narrow"/>
      <sz val="12"/>
    </font>
    <font>
      <name val="Amazon Ember Medium"/>
      <b val="1"/>
      <color theme="1"/>
      <sz val="16"/>
    </font>
    <font>
      <name val="Amazon Ember Medium"/>
      <b val="1"/>
      <color theme="1"/>
      <sz val="14"/>
    </font>
    <font>
      <name val="Amazon Ember"/>
      <color theme="1"/>
      <sz val="14"/>
    </font>
    <font>
      <name val="Amazon Ember Medium"/>
      <color theme="1"/>
      <sz val="12"/>
    </font>
    <font>
      <name val="Amazon Ember Medium"/>
      <color theme="1"/>
      <sz val="14"/>
    </font>
    <font>
      <name val="Amazon Ember"/>
      <color theme="1"/>
      <sz val="12"/>
    </font>
    <font>
      <name val="Amazon Ember"/>
      <b val="1"/>
      <color theme="1"/>
      <sz val="12"/>
    </font>
    <font>
      <name val="Amazon Ember"/>
      <b val="1"/>
      <i val="1"/>
      <color theme="1"/>
      <sz val="12"/>
    </font>
    <font>
      <name val="Amazon Ember"/>
      <b val="1"/>
      <color theme="0"/>
      <sz val="12"/>
    </font>
  </fonts>
  <fills count="5">
    <fill>
      <patternFill/>
    </fill>
    <fill>
      <patternFill patternType="gray125"/>
    </fill>
    <fill>
      <patternFill patternType="solid">
        <fgColor theme="0"/>
        <bgColor theme="0"/>
      </patternFill>
    </fill>
    <fill>
      <patternFill patternType="solid">
        <fgColor rgb="FF7030A0"/>
        <bgColor rgb="FF7030A0"/>
      </patternFill>
    </fill>
    <fill>
      <patternFill patternType="solid">
        <fgColor rgb="FFFFFFFF"/>
        <bgColor rgb="FFFFFFFF"/>
      </patternFill>
    </fill>
  </fills>
  <borders count="29">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bottom/>
      <diagonal/>
    </border>
    <border>
      <left/>
      <right style="thin">
        <color rgb="FF000000"/>
      </right>
      <top/>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style="medium">
        <color rgb="FF000000"/>
      </top>
      <bottom style="medium">
        <color rgb="FF000000"/>
      </bottom>
      <diagonal/>
    </border>
    <border>
      <left style="medium">
        <color rgb="FF000000"/>
      </left>
      <right style="thin">
        <color rgb="FF000000"/>
      </right>
      <top/>
      <bottom/>
      <diagonal/>
    </border>
  </borders>
  <cellStyleXfs count="1">
    <xf numFmtId="0" fontId="0" fillId="0" borderId="1"/>
  </cellStyleXfs>
  <cellXfs count="66">
    <xf numFmtId="0" fontId="0" fillId="0" borderId="0" pivotButton="0" quotePrefix="0" xfId="0"/>
    <xf numFmtId="0" fontId="1" fillId="2" borderId="1" pivotButton="0" quotePrefix="0" xfId="0"/>
    <xf numFmtId="0" fontId="4" fillId="2" borderId="1" applyAlignment="1" pivotButton="0" quotePrefix="0" xfId="0">
      <alignment vertical="center"/>
    </xf>
    <xf numFmtId="0" fontId="2" fillId="2" borderId="1" applyAlignment="1" pivotButton="0" quotePrefix="0" xfId="0">
      <alignment horizontal="center" vertical="center"/>
    </xf>
    <xf numFmtId="0" fontId="5" fillId="2" borderId="10" pivotButton="0" quotePrefix="0" xfId="0"/>
    <xf numFmtId="0" fontId="5" fillId="2" borderId="11" pivotButton="0" quotePrefix="0" xfId="0"/>
    <xf numFmtId="0" fontId="6" fillId="2" borderId="12" applyAlignment="1" pivotButton="0" quotePrefix="0" xfId="0">
      <alignment vertical="center" wrapText="1"/>
    </xf>
    <xf numFmtId="0" fontId="6" fillId="2" borderId="13" applyAlignment="1" pivotButton="0" quotePrefix="0" xfId="0">
      <alignment vertical="center" wrapText="1"/>
    </xf>
    <xf numFmtId="0" fontId="6" fillId="2" borderId="12" applyAlignment="1" pivotButton="0" quotePrefix="0" xfId="0">
      <alignment vertical="center"/>
    </xf>
    <xf numFmtId="0" fontId="6" fillId="2" borderId="14" applyAlignment="1" pivotButton="0" quotePrefix="0" xfId="0">
      <alignment vertical="center"/>
    </xf>
    <xf numFmtId="0" fontId="6" fillId="2" borderId="15" applyAlignment="1" pivotButton="0" quotePrefix="0" xfId="0">
      <alignment vertical="center" wrapText="1"/>
    </xf>
    <xf numFmtId="0" fontId="6" fillId="2" borderId="1" applyAlignment="1" pivotButton="0" quotePrefix="0" xfId="0">
      <alignment vertical="center"/>
    </xf>
    <xf numFmtId="0" fontId="6" fillId="2" borderId="1" applyAlignment="1" pivotButton="0" quotePrefix="0" xfId="0">
      <alignment vertical="center" wrapText="1"/>
    </xf>
    <xf numFmtId="0" fontId="7" fillId="2" borderId="1" pivotButton="0" quotePrefix="0" xfId="0"/>
    <xf numFmtId="0" fontId="9" fillId="2" borderId="1" pivotButton="0" quotePrefix="0" xfId="0"/>
    <xf numFmtId="0" fontId="10" fillId="2" borderId="10" pivotButton="0" quotePrefix="0" xfId="0"/>
    <xf numFmtId="0" fontId="10" fillId="2" borderId="11" pivotButton="0" quotePrefix="0" xfId="0"/>
    <xf numFmtId="0" fontId="10" fillId="2" borderId="14" pivotButton="0" quotePrefix="0" xfId="0"/>
    <xf numFmtId="0" fontId="10" fillId="2" borderId="15" pivotButton="0" quotePrefix="0" xfId="0"/>
    <xf numFmtId="0" fontId="9" fillId="2" borderId="10" pivotButton="0" quotePrefix="0" xfId="0"/>
    <xf numFmtId="0" fontId="9" fillId="2" borderId="11" pivotButton="0" quotePrefix="0" xfId="0"/>
    <xf numFmtId="0" fontId="9" fillId="2" borderId="12" pivotButton="0" quotePrefix="0" xfId="0"/>
    <xf numFmtId="0" fontId="9" fillId="2" borderId="13" pivotButton="0" quotePrefix="0" xfId="0"/>
    <xf numFmtId="0" fontId="9" fillId="2" borderId="14" pivotButton="0" quotePrefix="0" xfId="0"/>
    <xf numFmtId="0" fontId="9" fillId="2" borderId="15" pivotButton="0" quotePrefix="0" xfId="0"/>
    <xf numFmtId="0" fontId="9" fillId="2" borderId="20" pivotButton="0" quotePrefix="0" xfId="0"/>
    <xf numFmtId="0" fontId="9" fillId="2" borderId="21" pivotButton="0" quotePrefix="0" xfId="0"/>
    <xf numFmtId="0" fontId="9" fillId="2" borderId="15" applyAlignment="1" pivotButton="0" quotePrefix="0" xfId="0">
      <alignment wrapText="1"/>
    </xf>
    <xf numFmtId="0" fontId="12" fillId="3" borderId="24" pivotButton="0" quotePrefix="0" xfId="0"/>
    <xf numFmtId="0" fontId="12" fillId="3" borderId="24" applyAlignment="1" pivotButton="0" quotePrefix="0" xfId="0">
      <alignment horizontal="center"/>
    </xf>
    <xf numFmtId="0" fontId="9" fillId="2" borderId="24" pivotButton="0" quotePrefix="0" xfId="0"/>
    <xf numFmtId="164" fontId="9" fillId="2" borderId="24" applyAlignment="1" pivotButton="0" quotePrefix="0" xfId="0">
      <alignment horizontal="center"/>
    </xf>
    <xf numFmtId="0" fontId="9" fillId="4" borderId="24" pivotButton="0" quotePrefix="0" xfId="0"/>
    <xf numFmtId="0" fontId="2" fillId="2" borderId="2" applyAlignment="1" pivotButton="0" quotePrefix="0" xfId="0">
      <alignment horizontal="center" vertical="center"/>
    </xf>
    <xf numFmtId="0" fontId="3" fillId="0" borderId="3" pivotButton="0" quotePrefix="0" xfId="0"/>
    <xf numFmtId="0" fontId="3" fillId="0" borderId="4" pivotButton="0" quotePrefix="0" xfId="0"/>
    <xf numFmtId="0" fontId="3" fillId="0" borderId="5" pivotButton="0" quotePrefix="0" xfId="0"/>
    <xf numFmtId="0" fontId="0" fillId="0" borderId="0" pivotButton="0" quotePrefix="0" xfId="0"/>
    <xf numFmtId="0" fontId="3" fillId="0" borderId="6" pivotButton="0" quotePrefix="0" xfId="0"/>
    <xf numFmtId="0" fontId="3" fillId="0" borderId="7" pivotButton="0" quotePrefix="0" xfId="0"/>
    <xf numFmtId="0" fontId="3" fillId="0" borderId="8" pivotButton="0" quotePrefix="0" xfId="0"/>
    <xf numFmtId="0" fontId="3" fillId="0" borderId="9" pivotButton="0" quotePrefix="0" xfId="0"/>
    <xf numFmtId="0" fontId="8" fillId="2" borderId="2" applyAlignment="1" pivotButton="0" quotePrefix="0" xfId="0">
      <alignment horizontal="left" vertical="center" wrapText="1"/>
    </xf>
    <xf numFmtId="0" fontId="11" fillId="2" borderId="22" applyAlignment="1" pivotButton="0" quotePrefix="0" xfId="0">
      <alignment horizontal="center"/>
    </xf>
    <xf numFmtId="0" fontId="3" fillId="0" borderId="23" pivotButton="0" quotePrefix="0" xfId="0"/>
    <xf numFmtId="0" fontId="11" fillId="2" borderId="18" applyAlignment="1" pivotButton="0" quotePrefix="0" xfId="0">
      <alignment horizontal="center"/>
    </xf>
    <xf numFmtId="0" fontId="3" fillId="0" borderId="19" pivotButton="0" quotePrefix="0" xfId="0"/>
    <xf numFmtId="0" fontId="11" fillId="2" borderId="16" applyAlignment="1" pivotButton="0" quotePrefix="0" xfId="0">
      <alignment horizontal="center" vertical="center"/>
    </xf>
    <xf numFmtId="0" fontId="3" fillId="0" borderId="17" pivotButton="0" quotePrefix="0" xfId="0"/>
    <xf numFmtId="0" fontId="11" fillId="2" borderId="18" applyAlignment="1" pivotButton="0" quotePrefix="0" xfId="0">
      <alignment horizontal="center" vertical="center"/>
    </xf>
    <xf numFmtId="0" fontId="2" fillId="2" borderId="25" applyAlignment="1" pivotButton="0" quotePrefix="0" xfId="0">
      <alignment horizontal="center" vertical="center"/>
    </xf>
    <xf numFmtId="0" fontId="0" fillId="0" borderId="3" pivotButton="0" quotePrefix="0" xfId="0"/>
    <xf numFmtId="0" fontId="0" fillId="0" borderId="4" pivotButton="0" quotePrefix="0" xfId="0"/>
    <xf numFmtId="0" fontId="0" fillId="0" borderId="16"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8" fillId="2" borderId="25" applyAlignment="1" pivotButton="0" quotePrefix="0" xfId="0">
      <alignment horizontal="left" vertical="center" wrapText="1"/>
    </xf>
    <xf numFmtId="0" fontId="11" fillId="2" borderId="28" applyAlignment="1" pivotButton="0" quotePrefix="0" xfId="0">
      <alignment horizontal="center" vertical="center"/>
    </xf>
    <xf numFmtId="0" fontId="0" fillId="0" borderId="17" pivotButton="0" quotePrefix="0" xfId="0"/>
    <xf numFmtId="0" fontId="11" fillId="2" borderId="27" applyAlignment="1" pivotButton="0" quotePrefix="0" xfId="0">
      <alignment horizontal="center" vertical="center"/>
    </xf>
    <xf numFmtId="0" fontId="0" fillId="0" borderId="19" pivotButton="0" quotePrefix="0" xfId="0"/>
    <xf numFmtId="0" fontId="11" fillId="2" borderId="27" applyAlignment="1" pivotButton="0" quotePrefix="0" xfId="0">
      <alignment horizontal="center"/>
    </xf>
    <xf numFmtId="0" fontId="11" fillId="2" borderId="26" applyAlignment="1" pivotButton="0" quotePrefix="0" xfId="0">
      <alignment horizontal="center"/>
    </xf>
    <xf numFmtId="0" fontId="0" fillId="0" borderId="2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1.19921875" defaultRowHeight="15" customHeight="1"/>
  <cols>
    <col width="1.296875" customWidth="1" style="37" min="1" max="1"/>
    <col width="37" customWidth="1" style="37" min="2" max="2"/>
    <col width="105.3984375" customWidth="1" style="37" min="3" max="3"/>
    <col width="10.8984375" customWidth="1" style="37" min="4" max="26"/>
  </cols>
  <sheetData>
    <row r="1" ht="6.75" customHeight="1" s="37">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1" customHeight="1" s="37">
      <c r="A2" s="1" t="n"/>
      <c r="B2" s="50" t="inlineStr">
        <is>
          <t>This file contains an export of AWS Transform Assessment results. Please see below for the description of sheets included in this export</t>
        </is>
      </c>
      <c r="C2" s="51" t="n"/>
      <c r="D2" s="51" t="n"/>
      <c r="E2" s="51" t="n"/>
      <c r="F2" s="51" t="n"/>
      <c r="G2" s="51" t="n"/>
      <c r="H2" s="51" t="n"/>
      <c r="I2" s="52" t="n"/>
      <c r="J2" s="2" t="n"/>
      <c r="K2" s="2" t="n"/>
      <c r="L2" s="2" t="n"/>
      <c r="M2" s="2" t="n"/>
      <c r="N2" s="2" t="n"/>
      <c r="O2" s="2" t="n"/>
      <c r="P2" s="2" t="n"/>
      <c r="Q2" s="2" t="n"/>
      <c r="R2" s="1" t="n"/>
      <c r="S2" s="1" t="n"/>
      <c r="T2" s="1" t="n"/>
      <c r="U2" s="1" t="n"/>
      <c r="V2" s="1" t="n"/>
      <c r="W2" s="1" t="n"/>
      <c r="X2" s="1" t="n"/>
      <c r="Y2" s="1" t="n"/>
      <c r="Z2" s="1" t="n"/>
    </row>
    <row r="3" ht="15.75" customHeight="1" s="37">
      <c r="A3" s="1" t="n"/>
      <c r="B3" s="53" t="n"/>
      <c r="I3" s="54" t="n"/>
      <c r="J3" s="2" t="n"/>
      <c r="K3" s="2" t="n"/>
      <c r="L3" s="2" t="n"/>
      <c r="M3" s="2" t="n"/>
      <c r="N3" s="2" t="n"/>
      <c r="O3" s="2" t="n"/>
      <c r="P3" s="2" t="n"/>
      <c r="Q3" s="2" t="n"/>
      <c r="R3" s="1" t="n"/>
      <c r="S3" s="1" t="n"/>
      <c r="T3" s="1" t="n"/>
      <c r="U3" s="1" t="n"/>
      <c r="V3" s="1" t="n"/>
      <c r="W3" s="1" t="n"/>
      <c r="X3" s="1" t="n"/>
      <c r="Y3" s="1" t="n"/>
      <c r="Z3" s="1" t="n"/>
    </row>
    <row r="4" ht="15.75" customHeight="1" s="37">
      <c r="A4" s="1" t="n"/>
      <c r="B4" s="55" t="n"/>
      <c r="C4" s="56" t="n"/>
      <c r="D4" s="56" t="n"/>
      <c r="E4" s="56" t="n"/>
      <c r="F4" s="56" t="n"/>
      <c r="G4" s="56" t="n"/>
      <c r="H4" s="56" t="n"/>
      <c r="I4" s="57" t="n"/>
      <c r="J4" s="2" t="n"/>
      <c r="K4" s="2" t="n"/>
      <c r="L4" s="2" t="n"/>
      <c r="M4" s="2" t="n"/>
      <c r="N4" s="2" t="n"/>
      <c r="O4" s="2" t="n"/>
      <c r="P4" s="2" t="n"/>
      <c r="Q4" s="2" t="n"/>
      <c r="R4" s="1" t="n"/>
      <c r="S4" s="1" t="n"/>
      <c r="T4" s="1" t="n"/>
      <c r="U4" s="1" t="n"/>
      <c r="V4" s="1" t="n"/>
      <c r="W4" s="1" t="n"/>
      <c r="X4" s="1" t="n"/>
      <c r="Y4" s="1" t="n"/>
      <c r="Z4" s="1" t="n"/>
    </row>
    <row r="5" ht="15.75" customHeight="1" s="37">
      <c r="A5" s="1" t="n"/>
      <c r="B5" s="3" t="n"/>
      <c r="C5" s="3" t="n"/>
      <c r="D5" s="3" t="n"/>
      <c r="E5" s="3" t="n"/>
      <c r="F5" s="3" t="n"/>
      <c r="G5" s="3" t="n"/>
      <c r="H5" s="3" t="n"/>
      <c r="I5" s="3" t="n"/>
      <c r="J5" s="2" t="n"/>
      <c r="K5" s="2" t="n"/>
      <c r="L5" s="2" t="n"/>
      <c r="M5" s="2" t="n"/>
      <c r="N5" s="2" t="n"/>
      <c r="O5" s="2" t="n"/>
      <c r="P5" s="2" t="n"/>
      <c r="Q5" s="2" t="n"/>
      <c r="R5" s="1" t="n"/>
      <c r="S5" s="1" t="n"/>
      <c r="T5" s="1" t="n"/>
      <c r="U5" s="1" t="n"/>
      <c r="V5" s="1" t="n"/>
      <c r="W5" s="1" t="n"/>
      <c r="X5" s="1" t="n"/>
      <c r="Y5" s="1" t="n"/>
      <c r="Z5" s="1" t="n"/>
    </row>
    <row r="6" ht="18" customHeight="1" s="37">
      <c r="A6" s="1" t="n"/>
      <c r="B6" s="4" t="inlineStr">
        <is>
          <t>Sheet</t>
        </is>
      </c>
      <c r="C6" s="5" t="inlineStr">
        <is>
          <t>Description</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36" customHeight="1" s="37">
      <c r="A7" s="1" t="n"/>
      <c r="B7" s="6" t="inlineStr">
        <is>
          <t>Glossary</t>
        </is>
      </c>
      <c r="C7" s="7" t="inlineStr">
        <is>
          <t>Column-by-column definitions and descriptions for all data fields for all tabs in this export.</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37.5" customHeight="1" s="37">
      <c r="A8" s="1" t="n"/>
      <c r="B8" s="8" t="inlineStr">
        <is>
          <t>Shared Tenancy Analysis</t>
        </is>
      </c>
      <c r="C8" s="7" t="inlineStr">
        <is>
          <t>Lists servers that can run on shared hardware infrastructure in AWS with other customers' instances while maintaining security, performance and compliance requirements.</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37.5" customHeight="1" s="37">
      <c r="A9" s="1" t="n"/>
      <c r="B9" s="8" t="inlineStr">
        <is>
          <t>Mixed Tenancy Analysis</t>
        </is>
      </c>
      <c r="C9" s="7" t="inlineStr">
        <is>
          <t>Identifies workloads that can operate with a combination of shared and dedicated hosting options based on specific application needs and compliance requirements.</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37.5" customHeight="1" s="37">
      <c r="A10" s="1" t="n"/>
      <c r="B10" s="8" t="inlineStr">
        <is>
          <t>Server-Dedicated Host Mapping</t>
        </is>
      </c>
      <c r="C10" s="7" t="inlineStr">
        <is>
          <t>Shows the mapping between servers and AWS Dedicated Hosts as part of Mixed Tenancy Analysis</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37.5" customHeight="1" s="37">
      <c r="A11" s="1" t="n"/>
      <c r="B11" s="8" t="inlineStr">
        <is>
          <t>On-Premises VM Hosts</t>
        </is>
      </c>
      <c r="C11" s="7" t="inlineStr">
        <is>
          <t>Provides an inventory of current virtual machine hosts in the on-premises environment, including their specifications (if available)</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37.5" customHeight="1" s="37">
      <c r="A12" s="1" t="n"/>
      <c r="B12" s="6" t="inlineStr">
        <is>
          <t>File-FSxN</t>
        </is>
      </c>
      <c r="C12" s="7" t="inlineStr">
        <is>
          <t>Analysis of Network Attached Storage (NAS) workloads mapped to Amazon FSx for NetApp ONTAP</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37.5" customHeight="1" s="37">
      <c r="A13" s="1" t="n"/>
      <c r="B13" s="8" t="inlineStr">
        <is>
          <t>Block-EBS-Cost-Optimized</t>
        </is>
      </c>
      <c r="C13" s="7" t="inlineStr">
        <is>
          <t>Storage Area Network (SAN) volumes mapped to Amazon EBS with cost-optimized recommendations</t>
        </is>
      </c>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36.75" customHeight="1" s="37">
      <c r="A14" s="1" t="n"/>
      <c r="B14" s="8" t="inlineStr">
        <is>
          <t>Block-EBS-1-2-Many</t>
        </is>
      </c>
      <c r="C14" s="7" t="inlineStr">
        <is>
          <t>SAN volumes mapped to Amazon EBS using one-to-many volume relationships</t>
        </is>
      </c>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39.75" customHeight="1" s="37">
      <c r="A15" s="1" t="n"/>
      <c r="B15" s="8" t="inlineStr">
        <is>
          <t>Block-FSxN</t>
        </is>
      </c>
      <c r="C15" s="7" t="inlineStr">
        <is>
          <t>SAN volumes mapped to Amazon FSx for NetApp ONTAP storage</t>
        </is>
      </c>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40.5" customHeight="1" s="37">
      <c r="A16" s="1" t="n"/>
      <c r="B16" s="9" t="inlineStr">
        <is>
          <t>FileServers-FSxN</t>
        </is>
      </c>
      <c r="C16" s="10" t="inlineStr">
        <is>
          <t>File server workloads mapped to Amazon FSx for NetApp ONTAP file systems</t>
        </is>
      </c>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8" customHeight="1" s="37">
      <c r="A17" s="1" t="n"/>
      <c r="B17" s="11" t="n"/>
      <c r="C17" s="12"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6.5" customHeight="1" s="37">
      <c r="A18" s="1" t="n"/>
      <c r="B18" s="13" t="n"/>
      <c r="C18" s="13"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75" customHeight="1" s="37">
      <c r="A19" s="1" t="n"/>
      <c r="B19" s="58" t="inlineStr">
        <is>
          <t>Disclaimer:  This report provides an estimate of fees in USD, and savings based on certain information you provide. Fee estimates do not include any taxes that might apply. Your actual fees and savings depend on a variety of factors, including your actual usage of AWS services, which may vary from the estimates provided in this report. Additional configurations are available on request by engaging a specialist. The data presented in this assessment report is derived from the information provided during the initial data upload process. Some fields may appear blank or without values or some sheets may not be present if corresponding data was not available in the source environment.</t>
        </is>
      </c>
      <c r="C19" s="51" t="n"/>
      <c r="D19" s="51" t="n"/>
      <c r="E19" s="51" t="n"/>
      <c r="F19" s="51" t="n"/>
      <c r="G19" s="51" t="n"/>
      <c r="H19" s="51" t="n"/>
      <c r="I19" s="52" t="n"/>
      <c r="J19" s="1" t="n"/>
      <c r="K19" s="1" t="n"/>
      <c r="L19" s="1" t="n"/>
      <c r="M19" s="1" t="n"/>
      <c r="N19" s="1" t="n"/>
      <c r="O19" s="1" t="n"/>
      <c r="P19" s="1" t="n"/>
      <c r="Q19" s="1" t="n"/>
      <c r="R19" s="1" t="n"/>
      <c r="S19" s="1" t="n"/>
      <c r="T19" s="1" t="n"/>
      <c r="U19" s="1" t="n"/>
      <c r="V19" s="1" t="n"/>
      <c r="W19" s="1" t="n"/>
      <c r="X19" s="1" t="n"/>
      <c r="Y19" s="1" t="n"/>
      <c r="Z19" s="1" t="n"/>
    </row>
    <row r="20" ht="15.75" customHeight="1" s="37">
      <c r="A20" s="1" t="n"/>
      <c r="B20" s="53" t="n"/>
      <c r="I20" s="54" t="n"/>
      <c r="J20" s="1" t="n"/>
      <c r="K20" s="1" t="n"/>
      <c r="L20" s="1" t="n"/>
      <c r="M20" s="1" t="n"/>
      <c r="N20" s="1" t="n"/>
      <c r="O20" s="1" t="n"/>
      <c r="P20" s="1" t="n"/>
      <c r="Q20" s="1" t="n"/>
      <c r="R20" s="1" t="n"/>
      <c r="S20" s="1" t="n"/>
      <c r="T20" s="1" t="n"/>
      <c r="U20" s="1" t="n"/>
      <c r="V20" s="1" t="n"/>
      <c r="W20" s="1" t="n"/>
      <c r="X20" s="1" t="n"/>
      <c r="Y20" s="1" t="n"/>
      <c r="Z20" s="1" t="n"/>
    </row>
    <row r="21" ht="15.75" customHeight="1" s="37">
      <c r="A21" s="1" t="n"/>
      <c r="B21" s="53" t="n"/>
      <c r="I21" s="54" t="n"/>
      <c r="J21" s="1" t="n"/>
      <c r="K21" s="1" t="n"/>
      <c r="L21" s="1" t="n"/>
      <c r="M21" s="1" t="n"/>
      <c r="N21" s="1" t="n"/>
      <c r="O21" s="1" t="n"/>
      <c r="P21" s="1" t="n"/>
      <c r="Q21" s="1" t="n"/>
      <c r="R21" s="1" t="n"/>
      <c r="S21" s="1" t="n"/>
      <c r="T21" s="1" t="n"/>
      <c r="U21" s="1" t="n"/>
      <c r="V21" s="1" t="n"/>
      <c r="W21" s="1" t="n"/>
      <c r="X21" s="1" t="n"/>
      <c r="Y21" s="1" t="n"/>
      <c r="Z21" s="1" t="n"/>
    </row>
    <row r="22" ht="15.75" customHeight="1" s="37">
      <c r="A22" s="1" t="n"/>
      <c r="B22" s="53" t="n"/>
      <c r="I22" s="54" t="n"/>
      <c r="J22" s="1" t="n"/>
      <c r="K22" s="1" t="n"/>
      <c r="L22" s="1" t="n"/>
      <c r="M22" s="1" t="n"/>
      <c r="N22" s="1" t="n"/>
      <c r="O22" s="1" t="n"/>
      <c r="P22" s="1" t="n"/>
      <c r="Q22" s="1" t="n"/>
      <c r="R22" s="1" t="n"/>
      <c r="S22" s="1" t="n"/>
      <c r="T22" s="1" t="n"/>
      <c r="U22" s="1" t="n"/>
      <c r="V22" s="1" t="n"/>
      <c r="W22" s="1" t="n"/>
      <c r="X22" s="1" t="n"/>
      <c r="Y22" s="1" t="n"/>
      <c r="Z22" s="1" t="n"/>
    </row>
    <row r="23" ht="16.5" customHeight="1" s="37">
      <c r="A23" s="1" t="n"/>
      <c r="B23" s="55" t="n"/>
      <c r="C23" s="56" t="n"/>
      <c r="D23" s="56" t="n"/>
      <c r="E23" s="56" t="n"/>
      <c r="F23" s="56" t="n"/>
      <c r="G23" s="56" t="n"/>
      <c r="H23" s="56" t="n"/>
      <c r="I23" s="57" t="n"/>
      <c r="J23" s="1" t="n"/>
      <c r="K23" s="1" t="n"/>
      <c r="L23" s="1" t="n"/>
      <c r="M23" s="1" t="n"/>
      <c r="N23" s="1" t="n"/>
      <c r="O23" s="1" t="n"/>
      <c r="P23" s="1" t="n"/>
      <c r="Q23" s="1" t="n"/>
      <c r="R23" s="1" t="n"/>
      <c r="S23" s="1" t="n"/>
      <c r="T23" s="1" t="n"/>
      <c r="U23" s="1" t="n"/>
      <c r="V23" s="1" t="n"/>
      <c r="W23" s="1" t="n"/>
      <c r="X23" s="1" t="n"/>
      <c r="Y23" s="1" t="n"/>
      <c r="Z23" s="1" t="n"/>
    </row>
    <row r="24" ht="15.75" customHeight="1" s="37">
      <c r="A24" s="1" t="n"/>
      <c r="B24" s="13" t="n"/>
      <c r="C24" s="13"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37">
      <c r="A25" s="1" t="n"/>
      <c r="B25" s="13" t="n"/>
      <c r="C25" s="13"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37">
      <c r="A26" s="1" t="n"/>
      <c r="B26" s="13" t="n"/>
      <c r="C26" s="13"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37">
      <c r="A27" s="1" t="n"/>
      <c r="B27" s="13" t="n"/>
      <c r="C27" s="13"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37">
      <c r="A28" s="1" t="n"/>
      <c r="B28" s="13" t="n"/>
      <c r="C28" s="13"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37">
      <c r="A29" s="1" t="n"/>
      <c r="B29" s="13" t="n"/>
      <c r="C29" s="13"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37">
      <c r="A30" s="1" t="n"/>
      <c r="B30" s="13" t="n"/>
      <c r="C30" s="13"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37">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37">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37">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37">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37">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37">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37">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37">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37">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37">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37">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37">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37">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37">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37">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3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37">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37">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37">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37">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37">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37">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37">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37">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37">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3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37">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37">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37">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37">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37">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37">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37">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37">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37">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3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37">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37">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37">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37">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37">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37">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37">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37">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37">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3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37">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37">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37">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37">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37">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37">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37">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37">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37">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3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37">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37">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37">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37">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37">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37">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37">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37">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37">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3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37">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37">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37">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37">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37">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37">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37">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37">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37">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3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37">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37">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37">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37">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37">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37">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37">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37">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37">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3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37">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37">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37">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37">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37">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37">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37">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37">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37">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3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37">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37">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37">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37">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37">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37">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37">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37">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37">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37">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37">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37">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37">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37">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37">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37">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37">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3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3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3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3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3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3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3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3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3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3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3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3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3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3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3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3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3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3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3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3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3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3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3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3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3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3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3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3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3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3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3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3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3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3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3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3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3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3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3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3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3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3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3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3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3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3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3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3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3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3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3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3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3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3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3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3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3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3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3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3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3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3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3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3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3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3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3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3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3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3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3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3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3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3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3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3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3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3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3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3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3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3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3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3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3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3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3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3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3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3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3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3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3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3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3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3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3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3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3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3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3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3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3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3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3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3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3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3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3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37">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3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37">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37">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37">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37">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37">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37">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37">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37">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37">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3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37">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37">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37">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37">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37">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37">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37">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37">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37">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3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37">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37">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37">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37">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37">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37">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37">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37">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37">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3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37">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37">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37">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37">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37">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37">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37">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37">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37">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3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37">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37">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37">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37">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37">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37">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37">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37">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37">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3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37">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37">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37">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37">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37">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37">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37">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37">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37">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3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37">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37">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37">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37">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37">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37">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37">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37">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37">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3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37">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37">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37">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37">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37">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37">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37">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37">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37">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37">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37">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37">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37">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37">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37">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37">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37">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37">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3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37">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37">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37">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37">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37">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37">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37">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37">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37">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3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37">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37">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37">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37">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37">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37">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37">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37">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37">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3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37">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37">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37">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37">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37">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37">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37">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37">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37">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3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37">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37">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37">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37">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37">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37">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37">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37">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37">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3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37">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37">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37">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37">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37">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37">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37">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37">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37">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3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37">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37">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37">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37">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37">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37">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37">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37">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37">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3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37">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37">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37">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37">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37">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37">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37">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37">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37">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3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37">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37">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37">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37">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37">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37">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37">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37">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37">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3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37">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37">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37">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37">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37">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37">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37">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37">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37">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37">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37">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37">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37">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37">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37">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37">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37">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37">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3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37">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37">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37">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37">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37">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37">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37">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37">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37">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3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37">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37">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37">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37">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37">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37">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37">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37">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37">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3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37">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37">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37">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37">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37">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37">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37">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37">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37">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3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37">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37">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37">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37">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37">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37">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37">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37">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37">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3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37">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37">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37">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37">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37">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37">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37">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37">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37">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3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37">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37">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37">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37">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37">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37">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37">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37">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37">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3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37">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37">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37">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37">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37">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37">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37">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37">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37">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3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37">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37">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37">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37">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37">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37">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37">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37">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37">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3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37">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37">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37">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37">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37">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37">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37">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37">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37">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37">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37">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37">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37">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37">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37">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37">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37">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37">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3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37">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37">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37">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37">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37">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37">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37">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37">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37">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3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37">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37">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37">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37">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37">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37">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37">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37">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37">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3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37">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37">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37">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37">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37">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37">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37">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37">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37">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3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37">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37">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37">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37">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37">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37">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37">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37">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37">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3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37">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37">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37">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37">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37">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37">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37">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37">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37">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3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37">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37">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37">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37">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37">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37">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37">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37">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37">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3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37">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37">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37">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37">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37">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37">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37">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37">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37">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3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37">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37">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37">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37">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37">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37">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37">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37">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37">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3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37">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37">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37">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37">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37">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37">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37">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37">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37">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37">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37">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37">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37">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37">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37">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37">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37">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37">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3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37">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37">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37">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37">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37">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37">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37">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37">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37">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3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37">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37">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37">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37">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37">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37">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37">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37">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37">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3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37">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37">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37">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37">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37">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37">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37">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37">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37">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3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37">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37">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37">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37">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37">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37">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37">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37">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37">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3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37">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37">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37">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37">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37">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37">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37">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37">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37">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3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37">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37">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37">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37">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37">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37">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37">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37">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37">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3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37">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37">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37">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37">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37">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37">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37">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37">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37">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3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37">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37">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37">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37">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37">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37">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37">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37">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37">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3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37">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37">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37">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37">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37">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37">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37">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37">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37">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37">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37">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37">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37">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37">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37">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37">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37">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37">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3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37">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37">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37">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37">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37">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37">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37">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37">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37">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3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37">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37">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37">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37">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37">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37">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37">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37">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37">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3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37">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37">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37">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37">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37">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37">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37">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37">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37">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3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37">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37">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37">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37">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37">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37">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37">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37">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37">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3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37">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37">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37">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37">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37">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37">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37">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37">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37">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3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37">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37">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37">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37">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37">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37">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37">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37">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37">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3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37">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37">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37">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37">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37">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37">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37">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37">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37">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3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37">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37">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37">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37">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37">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37">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37">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37">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37">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3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37">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37">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37">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37">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37">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37">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37">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37">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37">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37">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37">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37">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37">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37">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37">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37">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37">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37">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3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37">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37">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37">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37">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37">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37">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37">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37">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37">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3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37">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37">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37">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37">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37">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37">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37">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37">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37">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3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37">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37">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37">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37">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37">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37">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37">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37">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37">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3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37">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37">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37">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37">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37">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37">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37">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37">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37">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3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37">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37">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37">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37">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37">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37">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37">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37">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37">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3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37">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37">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37">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37">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37">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37">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37">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37">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37">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3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37">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37">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37">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37">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37">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37">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37">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37">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37">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3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37">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37">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37">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37">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37">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37">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37">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37">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37">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3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37">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37">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37">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37">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37">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37">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37">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37">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37">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37">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37">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37">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37">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37">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37">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37">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37">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37">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3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37">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37">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37">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37">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37">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37">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37">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37">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37">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3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37">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37">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37">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37">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37">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37">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37">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37">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37">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3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37">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37">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37">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37">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37">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37">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37">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37">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37">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3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37">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37">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37">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37">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37">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37">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37">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37">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37">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3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37">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37">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37">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37">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37">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37">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37">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37">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37">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3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37">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37">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37">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2">
    <mergeCell ref="B2:I4"/>
    <mergeCell ref="B19:I23"/>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1.19921875" defaultRowHeight="15" customHeight="1"/>
  <cols>
    <col width="1.296875" customWidth="1" style="37" min="1" max="1"/>
    <col width="56.09765625" customWidth="1" style="37" min="2" max="2"/>
    <col width="87.09765625" customWidth="1" style="37" min="3" max="3"/>
    <col width="10.8984375" customWidth="1" style="37" min="4" max="26"/>
  </cols>
  <sheetData>
    <row r="1" ht="6.75" customHeight="1" s="37">
      <c r="A1" s="1" t="n"/>
      <c r="B1" s="14" t="n"/>
      <c r="C1" s="14"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5.75" customHeight="1" s="37">
      <c r="A2" s="1" t="n"/>
      <c r="B2" s="15" t="inlineStr">
        <is>
          <t>Attribute Name</t>
        </is>
      </c>
      <c r="C2" s="16" t="inlineStr">
        <is>
          <t>Description</t>
        </is>
      </c>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6.5" customHeight="1" s="37">
      <c r="A3" s="1" t="n"/>
      <c r="B3" s="17" t="n"/>
      <c r="C3" s="18"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6.5" customHeight="1" s="37">
      <c r="A4" s="1" t="n"/>
      <c r="B4" s="59" t="inlineStr">
        <is>
          <t>Shared Tenancy Analysis</t>
        </is>
      </c>
      <c r="C4" s="60"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5.75" customHeight="1" s="37">
      <c r="A5" s="1" t="n"/>
      <c r="B5" s="19" t="inlineStr">
        <is>
          <t>Server Id</t>
        </is>
      </c>
      <c r="C5" s="20" t="inlineStr">
        <is>
          <t>Unique identifier for the server</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5.75" customHeight="1" s="37">
      <c r="A6" s="1" t="n"/>
      <c r="B6" s="21" t="inlineStr">
        <is>
          <t>Server Name</t>
        </is>
      </c>
      <c r="C6" s="22" t="inlineStr">
        <is>
          <t>Name assigned to the server</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5.75" customHeight="1" s="37">
      <c r="A7" s="1" t="n"/>
      <c r="B7" s="21" t="inlineStr">
        <is>
          <t>Host Name</t>
        </is>
      </c>
      <c r="C7" s="22" t="inlineStr">
        <is>
          <t>Name of the virtual machine host</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5.75" customHeight="1" s="37">
      <c r="A8" s="1" t="n"/>
      <c r="B8" s="21" t="inlineStr">
        <is>
          <t>Cluster Name</t>
        </is>
      </c>
      <c r="C8" s="22" t="inlineStr">
        <is>
          <t>Name of the host cluster group</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5.75" customHeight="1" s="37">
      <c r="A9" s="1" t="n"/>
      <c r="B9" s="21" t="inlineStr">
        <is>
          <t>Hypervisor</t>
        </is>
      </c>
      <c r="C9" s="22" t="inlineStr">
        <is>
          <t>Type of virtualization platform used</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5.75" customHeight="1" s="37">
      <c r="A10" s="1" t="n"/>
      <c r="B10" s="21" t="inlineStr">
        <is>
          <t>Environment</t>
        </is>
      </c>
      <c r="C10" s="22" t="inlineStr">
        <is>
          <t>Production/Development/Test environment designation</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5.75" customHeight="1" s="37">
      <c r="A11" s="1" t="n"/>
      <c r="B11" s="21" t="inlineStr">
        <is>
          <t>Application</t>
        </is>
      </c>
      <c r="C11" s="22" t="inlineStr">
        <is>
          <t>Primary application running on server</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5.75" customHeight="1" s="37">
      <c r="A12" s="1" t="n"/>
      <c r="B12" s="21" t="inlineStr">
        <is>
          <t>Server Type</t>
        </is>
      </c>
      <c r="C12" s="22" t="inlineStr">
        <is>
          <t>Virtual or Physical server</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5.75" customHeight="1" s="37">
      <c r="A13" s="1" t="n"/>
      <c r="B13" s="21" t="inlineStr">
        <is>
          <t>Number of CPUs</t>
        </is>
      </c>
      <c r="C13" s="22" t="inlineStr">
        <is>
          <t>Count  processors</t>
        </is>
      </c>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5.75" customHeight="1" s="37">
      <c r="A14" s="1" t="n"/>
      <c r="B14" s="21" t="inlineStr">
        <is>
          <t>Cores per CPU</t>
        </is>
      </c>
      <c r="C14" s="22" t="inlineStr">
        <is>
          <t>Number of cores in each processor</t>
        </is>
      </c>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75" customHeight="1" s="37">
      <c r="A15" s="1" t="n"/>
      <c r="B15" s="21" t="inlineStr">
        <is>
          <t>Total Cores</t>
        </is>
      </c>
      <c r="C15" s="22" t="inlineStr">
        <is>
          <t>Total number of CPU cores available</t>
        </is>
      </c>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75" customHeight="1" s="37">
      <c r="A16" s="1" t="n"/>
      <c r="B16" s="21" t="inlineStr">
        <is>
          <t>RAM (GB)</t>
        </is>
      </c>
      <c r="C16" s="22" t="inlineStr">
        <is>
          <t>Total memory capacity in gigabytes</t>
        </is>
      </c>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75" customHeight="1" s="37">
      <c r="A17" s="1" t="n"/>
      <c r="B17" s="21" t="inlineStr">
        <is>
          <t>Operation System Type</t>
        </is>
      </c>
      <c r="C17" s="22" t="inlineStr">
        <is>
          <t>Category of operating system</t>
        </is>
      </c>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75" customHeight="1" s="37">
      <c r="A18" s="1" t="n"/>
      <c r="B18" s="21" t="inlineStr">
        <is>
          <t>Operation System Name</t>
        </is>
      </c>
      <c r="C18" s="22" t="inlineStr">
        <is>
          <t>Specific OS version/distribution</t>
        </is>
      </c>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75" customHeight="1" s="37">
      <c r="A19" s="1" t="n"/>
      <c r="B19" s="21" t="inlineStr">
        <is>
          <t>SQl Edition</t>
        </is>
      </c>
      <c r="C19" s="22" t="inlineStr">
        <is>
          <t>Edition of SQL Server installed</t>
        </is>
      </c>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75" customHeight="1" s="37">
      <c r="A20" s="1" t="n"/>
      <c r="B20" s="21" t="inlineStr">
        <is>
          <t>SQL Version</t>
        </is>
      </c>
      <c r="C20" s="22" t="inlineStr">
        <is>
          <t>Version number of SQL Server</t>
        </is>
      </c>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37">
      <c r="A21" s="1" t="n"/>
      <c r="B21" s="21" t="inlineStr">
        <is>
          <t>Peak CPU Utilization %</t>
        </is>
      </c>
      <c r="C21" s="22" t="inlineStr">
        <is>
          <t>Maximum CPU usage recorded</t>
        </is>
      </c>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37">
      <c r="A22" s="1" t="n"/>
      <c r="B22" s="21" t="inlineStr">
        <is>
          <t>Average CPU Utilization %</t>
        </is>
      </c>
      <c r="C22" s="22" t="inlineStr">
        <is>
          <t>Average CPU usage over time</t>
        </is>
      </c>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37">
      <c r="A23" s="1" t="n"/>
      <c r="B23" s="21" t="inlineStr">
        <is>
          <t>Peak RAM Utilization %</t>
        </is>
      </c>
      <c r="C23" s="22" t="inlineStr">
        <is>
          <t>Maximum memory usage recorded</t>
        </is>
      </c>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37">
      <c r="A24" s="1" t="n"/>
      <c r="B24" s="21" t="inlineStr">
        <is>
          <t>Average RAM Utilization %</t>
        </is>
      </c>
      <c r="C24" s="22" t="inlineStr">
        <is>
          <t>Average memory usage over time</t>
        </is>
      </c>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37">
      <c r="A25" s="1" t="n"/>
      <c r="B25" s="21" t="inlineStr">
        <is>
          <t>Uptime %</t>
        </is>
      </c>
      <c r="C25" s="22" t="inlineStr">
        <is>
          <t>Percentage of time server is operational</t>
        </is>
      </c>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37">
      <c r="A26" s="1" t="n"/>
      <c r="B26" s="21" t="inlineStr">
        <is>
          <t>Provisioned Storage (GB)</t>
        </is>
      </c>
      <c r="C26" s="22" t="inlineStr">
        <is>
          <t>Total allocated storage space</t>
        </is>
      </c>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37">
      <c r="A27" s="1" t="n"/>
      <c r="B27" s="21" t="inlineStr">
        <is>
          <t>Storage Utilization %</t>
        </is>
      </c>
      <c r="C27" s="22" t="inlineStr">
        <is>
          <t>Percentage of storage space used</t>
        </is>
      </c>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37">
      <c r="A28" s="1" t="n"/>
      <c r="B28" s="21" t="inlineStr">
        <is>
          <t>Utilized Storage</t>
        </is>
      </c>
      <c r="C28" s="22" t="inlineStr">
        <is>
          <t>Actual storage space used</t>
        </is>
      </c>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37">
      <c r="A29" s="1" t="n"/>
      <c r="B29" s="21" t="inlineStr">
        <is>
          <t>Storage Type</t>
        </is>
      </c>
      <c r="C29" s="22" t="inlineStr">
        <is>
          <t>Category of storage solution</t>
        </is>
      </c>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37">
      <c r="A30" s="1" t="n"/>
      <c r="B30" s="21" t="inlineStr">
        <is>
          <t>Average Read IOPS</t>
        </is>
      </c>
      <c r="C30" s="22" t="inlineStr">
        <is>
          <t>Average read operations per second</t>
        </is>
      </c>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37">
      <c r="A31" s="1" t="n"/>
      <c r="B31" s="21" t="inlineStr">
        <is>
          <t>Average Write IOPS</t>
        </is>
      </c>
      <c r="C31" s="22" t="inlineStr">
        <is>
          <t>Average write operations per second</t>
        </is>
      </c>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37">
      <c r="A32" s="1" t="n"/>
      <c r="B32" s="21" t="inlineStr">
        <is>
          <t>Max Read IOPS</t>
        </is>
      </c>
      <c r="C32" s="22" t="inlineStr">
        <is>
          <t>Maximum read operations per second</t>
        </is>
      </c>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37">
      <c r="A33" s="1" t="n"/>
      <c r="B33" s="21" t="inlineStr">
        <is>
          <t>Max Write IOPS</t>
        </is>
      </c>
      <c r="C33" s="22" t="inlineStr">
        <is>
          <t>Maximum write operations per second</t>
        </is>
      </c>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37">
      <c r="A34" s="1" t="n"/>
      <c r="B34" s="21" t="inlineStr">
        <is>
          <t>EC2 Instance Recommended</t>
        </is>
      </c>
      <c r="C34" s="22" t="inlineStr">
        <is>
          <t>Recommended AWS instance type</t>
        </is>
      </c>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37">
      <c r="A35" s="1" t="n"/>
      <c r="B35" s="21" t="inlineStr">
        <is>
          <t>EC2  Total Cores</t>
        </is>
      </c>
      <c r="C35" s="22" t="inlineStr">
        <is>
          <t>Total  cores in recommended EC2 instance</t>
        </is>
      </c>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37">
      <c r="A36" s="1" t="n"/>
      <c r="B36" s="21" t="inlineStr">
        <is>
          <t>EC2 RAM (GB)</t>
        </is>
      </c>
      <c r="C36" s="22" t="inlineStr">
        <is>
          <t>Memory in recommended instance in GB</t>
        </is>
      </c>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37">
      <c r="A37" s="1" t="n"/>
      <c r="B37" s="21" t="inlineStr">
        <is>
          <t>EBS Size (GB)</t>
        </is>
      </c>
      <c r="C37" s="22" t="inlineStr">
        <is>
          <t>Recommended elastic block storage size in GB</t>
        </is>
      </c>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37">
      <c r="A38" s="1" t="n"/>
      <c r="B38" s="21" t="inlineStr">
        <is>
          <t>AWS Region</t>
        </is>
      </c>
      <c r="C38" s="22" t="inlineStr">
        <is>
          <t>Target AWS geographic region</t>
        </is>
      </c>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37">
      <c r="A39" s="1" t="n"/>
      <c r="B39" s="21" t="inlineStr">
        <is>
          <t>Annualized On-Demand Total EC2 Cost</t>
        </is>
      </c>
      <c r="C39" s="22" t="inlineStr">
        <is>
          <t>Yearly total cost using on-demand pricing</t>
        </is>
      </c>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37">
      <c r="A40" s="1" t="n"/>
      <c r="B40" s="21" t="inlineStr">
        <is>
          <t>Annualized License only Cost</t>
        </is>
      </c>
      <c r="C40" s="22" t="inlineStr">
        <is>
          <t>Yearly licensing only costs for Windows operating systems</t>
        </is>
      </c>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37">
      <c r="A41" s="1" t="n"/>
      <c r="B41" s="21" t="inlineStr">
        <is>
          <t>Annualized On-Demand EC2 Cost Excl. License Cost</t>
        </is>
      </c>
      <c r="C41" s="22" t="inlineStr">
        <is>
          <t>Yearly compute only costs at on-demand rates</t>
        </is>
      </c>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37">
      <c r="A42" s="1" t="n"/>
      <c r="B42" s="21" t="inlineStr">
        <is>
          <t>Annualized 1 Yr NURI Total EC2 Cost</t>
        </is>
      </c>
      <c r="C42" s="22" t="inlineStr">
        <is>
          <t>Total yearly cost with 1-year commitment with no upfront payment</t>
        </is>
      </c>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37">
      <c r="A43" s="1" t="n"/>
      <c r="B43" s="21" t="inlineStr">
        <is>
          <t>Annualized 1 Yr NURI EC2 Cost Excl. License Cost</t>
        </is>
      </c>
      <c r="C43" s="22" t="inlineStr">
        <is>
          <t>Compute-only yearly cost with 1-year commitment with no upfront payment</t>
        </is>
      </c>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37">
      <c r="A44" s="1" t="n"/>
      <c r="B44" s="21" t="inlineStr">
        <is>
          <t>Annualized 3 Yr NURI Total EC2 Cost</t>
        </is>
      </c>
      <c r="C44" s="22" t="inlineStr">
        <is>
          <t>Total yearly cost with 3-year commitment with no upfront payment</t>
        </is>
      </c>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6.5" customHeight="1" s="37">
      <c r="A45" s="1" t="n"/>
      <c r="B45" s="23" t="inlineStr">
        <is>
          <t>Annualized 3 Yr NURI EC2 Cost Excl. License Cost</t>
        </is>
      </c>
      <c r="C45" s="24" t="inlineStr">
        <is>
          <t>Compute-only yearly cost with 3-year commitment with no upfront payment</t>
        </is>
      </c>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6.5" customHeight="1" s="37">
      <c r="A46" s="1" t="n"/>
      <c r="B46" s="14" t="n"/>
      <c r="C46" s="14"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6.5" customHeight="1" s="37">
      <c r="A47" s="1" t="n"/>
      <c r="B47" s="61" t="inlineStr">
        <is>
          <t>Mixed Tenancy Analysis</t>
        </is>
      </c>
      <c r="C47" s="62"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37">
      <c r="A48" s="1" t="n"/>
      <c r="B48" s="25" t="inlineStr">
        <is>
          <t>Server name / Dedicated Host</t>
        </is>
      </c>
      <c r="C48" s="26" t="inlineStr">
        <is>
          <t>Name assigned to the server</t>
        </is>
      </c>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37">
      <c r="A49" s="1" t="n"/>
      <c r="B49" s="21" t="inlineStr">
        <is>
          <t>Tenancy Type</t>
        </is>
      </c>
      <c r="C49" s="22" t="inlineStr">
        <is>
          <t>Type of AWS tenancy model assigned</t>
        </is>
      </c>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37">
      <c r="A50" s="1" t="n"/>
      <c r="B50" s="21" t="inlineStr">
        <is>
          <t>Operating System Type</t>
        </is>
      </c>
      <c r="C50" s="22" t="inlineStr">
        <is>
          <t>Category of operating system</t>
        </is>
      </c>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37">
      <c r="A51" s="1" t="n"/>
      <c r="B51" s="21" t="inlineStr">
        <is>
          <t>Operating System License Model</t>
        </is>
      </c>
      <c r="C51" s="22" t="inlineStr">
        <is>
          <t>Licensing structure for the operating system</t>
        </is>
      </c>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37">
      <c r="A52" s="1" t="n"/>
      <c r="B52" s="21" t="inlineStr">
        <is>
          <t>Number of Instances Packed</t>
        </is>
      </c>
      <c r="C52" s="22" t="inlineStr">
        <is>
          <t>Count of instances consolidated on dedicated host</t>
        </is>
      </c>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37">
      <c r="A53" s="1" t="n"/>
      <c r="B53" s="21" t="inlineStr">
        <is>
          <t>Dedicated Host Cores</t>
        </is>
      </c>
      <c r="C53" s="22" t="inlineStr">
        <is>
          <t>Number of CPU cores on recommended dedicated host</t>
        </is>
      </c>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37">
      <c r="A54" s="1" t="n"/>
      <c r="B54" s="21" t="inlineStr">
        <is>
          <t>Annualized 1 Yr NURI Total EC2 Cost</t>
        </is>
      </c>
      <c r="C54" s="22" t="inlineStr">
        <is>
          <t>Total yearly cost with 1-year commitment with no upfront payment</t>
        </is>
      </c>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37">
      <c r="A55" s="1" t="n"/>
      <c r="B55" s="21" t="inlineStr">
        <is>
          <t>Annualized Licensing Only Cost</t>
        </is>
      </c>
      <c r="C55" s="22" t="inlineStr">
        <is>
          <t>Annual cost for software licensing only</t>
        </is>
      </c>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6.5" customHeight="1" s="37">
      <c r="A56" s="1" t="n"/>
      <c r="B56" s="23" t="inlineStr">
        <is>
          <t>Annualized 1 Yr NURI EC2 Cost Excl. License Cost</t>
        </is>
      </c>
      <c r="C56" s="24" t="inlineStr">
        <is>
          <t>Compute-only yearly cost with 1-year commitment with no upfront payment</t>
        </is>
      </c>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6.5" customHeight="1" s="37">
      <c r="A57" s="1" t="n"/>
      <c r="B57" s="14" t="n"/>
      <c r="C57" s="14"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6.5" customHeight="1" s="37">
      <c r="A58" s="1" t="n"/>
      <c r="B58" s="61" t="inlineStr">
        <is>
          <t>Server-Dedicated Host Mapping</t>
        </is>
      </c>
      <c r="C58" s="62"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37">
      <c r="A59" s="1" t="n"/>
      <c r="B59" s="25" t="inlineStr">
        <is>
          <t>Server Name</t>
        </is>
      </c>
      <c r="C59" s="26" t="inlineStr">
        <is>
          <t>Name assigned to the server</t>
        </is>
      </c>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37">
      <c r="A60" s="1" t="n"/>
      <c r="B60" s="21" t="inlineStr">
        <is>
          <t>Recommended Instance</t>
        </is>
      </c>
      <c r="C60" s="22" t="inlineStr">
        <is>
          <t>Suggested AWS instance type for migration</t>
        </is>
      </c>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6.5" customHeight="1" s="37">
      <c r="A61" s="1" t="n"/>
      <c r="B61" s="23" t="inlineStr">
        <is>
          <t>DH Host</t>
        </is>
      </c>
      <c r="C61" s="24" t="inlineStr">
        <is>
          <t>Dedicated Host identifier where EC2 instance will be deployed</t>
        </is>
      </c>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6.5" customHeight="1" s="37">
      <c r="A62" s="1" t="n"/>
      <c r="B62" s="14" t="n"/>
      <c r="C62" s="14"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6.5" customHeight="1" s="37">
      <c r="A63" s="1" t="n"/>
      <c r="B63" s="61" t="inlineStr">
        <is>
          <t>On-premises VM Hosts</t>
        </is>
      </c>
      <c r="C63" s="62"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37">
      <c r="A64" s="1" t="n"/>
      <c r="B64" s="25" t="inlineStr">
        <is>
          <t>Host Name</t>
        </is>
      </c>
      <c r="C64" s="26" t="inlineStr">
        <is>
          <t>Name of the virtual machine host</t>
        </is>
      </c>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37">
      <c r="A65" s="1" t="n"/>
      <c r="B65" s="21" t="inlineStr">
        <is>
          <t>Cluster Name</t>
        </is>
      </c>
      <c r="C65" s="22" t="inlineStr">
        <is>
          <t>Name of the host cluster group</t>
        </is>
      </c>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37">
      <c r="A66" s="1" t="n"/>
      <c r="B66" s="21" t="inlineStr">
        <is>
          <t>Host CPU Sockets</t>
        </is>
      </c>
      <c r="C66" s="22" t="inlineStr">
        <is>
          <t>Number of physical CPU sockets on host</t>
        </is>
      </c>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37">
      <c r="A67" s="1" t="n"/>
      <c r="B67" s="21" t="inlineStr">
        <is>
          <t>Host pCPU Total Cores</t>
        </is>
      </c>
      <c r="C67" s="22" t="inlineStr">
        <is>
          <t>Total number of physical CPU cores on host</t>
        </is>
      </c>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6.5" customHeight="1" s="37">
      <c r="A68" s="1" t="n"/>
      <c r="B68" s="23" t="inlineStr">
        <is>
          <t>Host RAM (GB)</t>
        </is>
      </c>
      <c r="C68" s="24" t="inlineStr">
        <is>
          <t>Total memory capacity of host in gigabytes</t>
        </is>
      </c>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6.5" customHeight="1" s="37">
      <c r="A69" s="1" t="n"/>
      <c r="B69" s="14" t="n"/>
      <c r="C69" s="14"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6.5" customHeight="1" s="37">
      <c r="A70" s="1" t="n"/>
      <c r="B70" s="63" t="inlineStr">
        <is>
          <t>File-FSxN</t>
        </is>
      </c>
      <c r="C70" s="62"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37">
      <c r="A71" s="1" t="n"/>
      <c r="B71" s="25" t="inlineStr">
        <is>
          <t>Volume Name</t>
        </is>
      </c>
      <c r="C71" s="26" t="inlineStr">
        <is>
          <t>Unique identifier for the storage volume</t>
        </is>
      </c>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37">
      <c r="A72" s="1" t="n"/>
      <c r="B72" s="21" t="inlineStr">
        <is>
          <t>Storage Array Name</t>
        </is>
      </c>
      <c r="C72" s="22" t="inlineStr">
        <is>
          <t>Name/identifier of the storage system</t>
        </is>
      </c>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37">
      <c r="A73" s="1" t="n"/>
      <c r="B73" s="21" t="inlineStr">
        <is>
          <t>Storage Pool Name</t>
        </is>
      </c>
      <c r="C73" s="22" t="inlineStr">
        <is>
          <t>Name of the logical grouping for storage volume</t>
        </is>
      </c>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37">
      <c r="A74" s="1" t="n"/>
      <c r="B74" s="21" t="inlineStr">
        <is>
          <t>Vendor</t>
        </is>
      </c>
      <c r="C74" s="22" t="inlineStr">
        <is>
          <t>Manufacturer of the storage system</t>
        </is>
      </c>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37">
      <c r="A75" s="1" t="n"/>
      <c r="B75" s="21" t="inlineStr">
        <is>
          <t xml:space="preserve">Volume Type </t>
        </is>
      </c>
      <c r="C75" s="22" t="inlineStr">
        <is>
          <t xml:space="preserve">Classification of volume </t>
        </is>
      </c>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37">
      <c r="A76" s="1" t="n"/>
      <c r="B76" s="21" t="inlineStr">
        <is>
          <t>Zombie</t>
        </is>
      </c>
      <c r="C76" s="22" t="inlineStr">
        <is>
          <t>Unused storage volume</t>
        </is>
      </c>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37">
      <c r="A77" s="1" t="n"/>
      <c r="B77" s="21" t="inlineStr">
        <is>
          <t>Scope</t>
        </is>
      </c>
      <c r="C77" s="22" t="inlineStr">
        <is>
          <t>Whether the storage volume is in scope for the assessment</t>
        </is>
      </c>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37">
      <c r="A78" s="1" t="n"/>
      <c r="B78" s="21" t="inlineStr">
        <is>
          <t>Directional Tiering Policy</t>
        </is>
      </c>
      <c r="C78" s="22" t="inlineStr">
        <is>
          <t>Rules for automatically moving data between storage tiers</t>
        </is>
      </c>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37">
      <c r="A79" s="1" t="n"/>
      <c r="B79" s="21" t="inlineStr">
        <is>
          <t>Capacity Total</t>
        </is>
      </c>
      <c r="C79" s="22" t="inlineStr">
        <is>
          <t>Total storage capacity allocated to the volume</t>
        </is>
      </c>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37">
      <c r="A80" s="1" t="n"/>
      <c r="B80" s="21" t="inlineStr">
        <is>
          <t>Capacity Used</t>
        </is>
      </c>
      <c r="C80" s="22" t="inlineStr">
        <is>
          <t>Actual storage space being utilized</t>
        </is>
      </c>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37">
      <c r="A81" s="1" t="n"/>
      <c r="B81" s="21" t="inlineStr">
        <is>
          <t>Peak IOPS</t>
        </is>
      </c>
      <c r="C81" s="22" t="inlineStr">
        <is>
          <t>Maximum Input/Output Operations Per Second during peak usage</t>
        </is>
      </c>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37">
      <c r="A82" s="1" t="n"/>
      <c r="B82" s="21" t="inlineStr">
        <is>
          <t>Peak Throughput</t>
        </is>
      </c>
      <c r="C82" s="22" t="inlineStr">
        <is>
          <t>Maximum data transfer rate</t>
        </is>
      </c>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37">
      <c r="A83" s="1" t="n"/>
      <c r="B83" s="21" t="inlineStr">
        <is>
          <t xml:space="preserve">Required IOPS </t>
        </is>
      </c>
      <c r="C83" s="22" t="inlineStr">
        <is>
          <t>Minimum IOPS needed to meet performance requirements</t>
        </is>
      </c>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37">
      <c r="A84" s="1" t="n"/>
      <c r="B84" s="21" t="inlineStr">
        <is>
          <t xml:space="preserve">Required Throughput </t>
        </is>
      </c>
      <c r="C84" s="22" t="inlineStr">
        <is>
          <t>Minimum throughput needed to meet performance requirements</t>
        </is>
      </c>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37">
      <c r="A85" s="1" t="n"/>
      <c r="B85" s="21" t="inlineStr">
        <is>
          <t xml:space="preserve">Capacity Post Dedupe </t>
        </is>
      </c>
      <c r="C85" s="22" t="inlineStr">
        <is>
          <t>Storage capacity after deduplication has been applied</t>
        </is>
      </c>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37">
      <c r="A86" s="1" t="n"/>
      <c r="B86" s="21" t="inlineStr">
        <is>
          <t>SSD Capacity</t>
        </is>
      </c>
      <c r="C86" s="22" t="inlineStr">
        <is>
          <t>Storage capacity on SSD media</t>
        </is>
      </c>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37">
      <c r="A87" s="1" t="n"/>
      <c r="B87" s="21" t="inlineStr">
        <is>
          <t>SSD-Capacity with Overheads</t>
        </is>
      </c>
      <c r="C87" s="22" t="inlineStr">
        <is>
          <t>SSD capacity including system overhead requirements</t>
        </is>
      </c>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37">
      <c r="A88" s="1" t="n"/>
      <c r="B88" s="21" t="inlineStr">
        <is>
          <t>Capacity Pool Capacity</t>
        </is>
      </c>
      <c r="C88" s="22" t="inlineStr">
        <is>
          <t>Available capacity in the storage pool</t>
        </is>
      </c>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6.5" customHeight="1" s="37">
      <c r="A89" s="1" t="n"/>
      <c r="B89" s="23" t="inlineStr">
        <is>
          <t>Total FileSystem Size</t>
        </is>
      </c>
      <c r="C89" s="24" t="inlineStr">
        <is>
          <t>Total size of the file system allocated to the volume</t>
        </is>
      </c>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6.5" customHeight="1" s="37">
      <c r="A90" s="1" t="n"/>
      <c r="B90" s="14" t="n"/>
      <c r="C90" s="14"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6.5" customHeight="1" s="37">
      <c r="A91" s="1" t="n"/>
      <c r="B91" s="63" t="inlineStr">
        <is>
          <t>Block-EBS-Cost-Optimized</t>
        </is>
      </c>
      <c r="C91" s="62"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37">
      <c r="A92" s="1" t="n"/>
      <c r="B92" s="25" t="inlineStr">
        <is>
          <t>Volume Name</t>
        </is>
      </c>
      <c r="C92" s="26" t="inlineStr">
        <is>
          <t>Unique identifier for the storage volume</t>
        </is>
      </c>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37">
      <c r="A93" s="1" t="n"/>
      <c r="B93" s="21" t="inlineStr">
        <is>
          <t>VolumeTypeFlag</t>
        </is>
      </c>
      <c r="C93" s="22" t="inlineStr">
        <is>
          <t>Physical or virtual</t>
        </is>
      </c>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37">
      <c r="A94" s="1" t="n"/>
      <c r="B94" s="21" t="inlineStr">
        <is>
          <t>Storage Array Name</t>
        </is>
      </c>
      <c r="C94" s="22" t="inlineStr">
        <is>
          <t>Name/identifier of the storage system</t>
        </is>
      </c>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37">
      <c r="A95" s="1" t="n"/>
      <c r="B95" s="21" t="inlineStr">
        <is>
          <t>Vendor</t>
        </is>
      </c>
      <c r="C95" s="22" t="inlineStr">
        <is>
          <t>Manufacturer of the storage system</t>
        </is>
      </c>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37">
      <c r="A96" s="1" t="n"/>
      <c r="B96" s="21" t="inlineStr">
        <is>
          <t>Evaluation Error</t>
        </is>
      </c>
      <c r="C96" s="22" t="inlineStr">
        <is>
          <t>Any errors encountered during assessment</t>
        </is>
      </c>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37">
      <c r="A97" s="1" t="n"/>
      <c r="B97" s="21" t="inlineStr">
        <is>
          <t>Zombie</t>
        </is>
      </c>
      <c r="C97" s="22" t="inlineStr">
        <is>
          <t>Unused storage volume</t>
        </is>
      </c>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37">
      <c r="A98" s="1" t="n"/>
      <c r="B98" s="21" t="inlineStr">
        <is>
          <t>AWS Service Mapping (Cost Optimized)</t>
        </is>
      </c>
      <c r="C98" s="22" t="inlineStr">
        <is>
          <t>Recommended AWS storage service</t>
        </is>
      </c>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37">
      <c r="A99" s="1" t="n"/>
      <c r="B99" s="21" t="inlineStr">
        <is>
          <t>VirtualBootVolumeType</t>
        </is>
      </c>
      <c r="C99" s="22" t="inlineStr">
        <is>
          <t>Type of boot volume for virtual instances</t>
        </is>
      </c>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37">
      <c r="A100" s="1" t="n"/>
      <c r="B100" s="21" t="inlineStr">
        <is>
          <t>DataStore Name</t>
        </is>
      </c>
      <c r="C100" s="22" t="inlineStr">
        <is>
          <t>Name of the data storage location</t>
        </is>
      </c>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37">
      <c r="A101" s="1" t="n"/>
      <c r="B101" s="21" t="inlineStr">
        <is>
          <t>Scope</t>
        </is>
      </c>
      <c r="C101" s="22" t="inlineStr">
        <is>
          <t>Whether the storage volume is in scope for the assessment</t>
        </is>
      </c>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37">
      <c r="A102" s="1" t="n"/>
      <c r="B102" s="21" t="inlineStr">
        <is>
          <t>Multi Attach</t>
        </is>
      </c>
      <c r="C102" s="22" t="inlineStr">
        <is>
          <t>Capability for multiple instance attachments</t>
        </is>
      </c>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37">
      <c r="A103" s="1" t="n"/>
      <c r="B103" s="21" t="inlineStr">
        <is>
          <t>AWS Region</t>
        </is>
      </c>
      <c r="C103" s="22" t="inlineStr">
        <is>
          <t>Target AWS region for migration</t>
        </is>
      </c>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37">
      <c r="A104" s="1" t="n"/>
      <c r="B104" s="21" t="inlineStr">
        <is>
          <t>VirtualBootVolumeSizeGB</t>
        </is>
      </c>
      <c r="C104" s="22" t="inlineStr">
        <is>
          <t>Size of boot volume in gigabytes</t>
        </is>
      </c>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37">
      <c r="A105" s="1" t="n"/>
      <c r="B105" s="21" t="inlineStr">
        <is>
          <t>VirtualBootVolumeCount</t>
        </is>
      </c>
      <c r="C105" s="22" t="inlineStr">
        <is>
          <t>Number of boot volumes</t>
        </is>
      </c>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37">
      <c r="A106" s="1" t="n"/>
      <c r="B106" s="21" t="inlineStr">
        <is>
          <t>VirtualBootVolumeMonthlyCost</t>
        </is>
      </c>
      <c r="C106" s="22" t="inlineStr">
        <is>
          <t>Monthly cost for boot volumes</t>
        </is>
      </c>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37">
      <c r="A107" s="1" t="n"/>
      <c r="B107" s="21" t="inlineStr">
        <is>
          <t>VirtualBootVolumeAnnualCost</t>
        </is>
      </c>
      <c r="C107" s="22" t="inlineStr">
        <is>
          <t>Annual cost for boot volumes</t>
        </is>
      </c>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37">
      <c r="A108" s="1" t="n"/>
      <c r="B108" s="21" t="inlineStr">
        <is>
          <t>VolumeCount_CO</t>
        </is>
      </c>
      <c r="C108" s="22" t="inlineStr">
        <is>
          <t>Number of volumes in cost-optimized scenario</t>
        </is>
      </c>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37">
      <c r="A109" s="1" t="n"/>
      <c r="B109" s="21" t="inlineStr">
        <is>
          <t>Average Latency</t>
        </is>
      </c>
      <c r="C109" s="22" t="inlineStr">
        <is>
          <t>Typical response time for storage operations</t>
        </is>
      </c>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37">
      <c r="A110" s="1" t="n"/>
      <c r="B110" s="21" t="inlineStr">
        <is>
          <t>Capacity Total</t>
        </is>
      </c>
      <c r="C110" s="22" t="inlineStr">
        <is>
          <t>Total storage capacity allocated to the volume</t>
        </is>
      </c>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37">
      <c r="A111" s="1" t="n"/>
      <c r="B111" s="21" t="inlineStr">
        <is>
          <t>Capacity Used</t>
        </is>
      </c>
      <c r="C111" s="22" t="inlineStr">
        <is>
          <t>Actual storage space being utilized</t>
        </is>
      </c>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37">
      <c r="A112" s="1" t="n"/>
      <c r="B112" s="21" t="inlineStr">
        <is>
          <t>AdjustedStorageCapacity_CO</t>
        </is>
      </c>
      <c r="C112" s="22" t="inlineStr">
        <is>
          <t>Modified capacity for cost optimization</t>
        </is>
      </c>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37">
      <c r="A113" s="1" t="n"/>
      <c r="B113" s="21" t="inlineStr">
        <is>
          <t>AdjustedCapacityWithboot_CO</t>
        </is>
      </c>
      <c r="C113" s="22" t="inlineStr">
        <is>
          <t>Modified capacity including boot volumes</t>
        </is>
      </c>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37">
      <c r="A114" s="1" t="n"/>
      <c r="B114" s="21" t="inlineStr">
        <is>
          <t>Estimated Monthly AWS Storage Cost (Cost Optimized)</t>
        </is>
      </c>
      <c r="C114" s="22" t="inlineStr">
        <is>
          <t>Projected monthly AWS storage costs after optimization</t>
        </is>
      </c>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37">
      <c r="A115" s="1" t="n"/>
      <c r="B115" s="21" t="inlineStr">
        <is>
          <t>Average IOPS</t>
        </is>
      </c>
      <c r="C115" s="22" t="inlineStr">
        <is>
          <t>Typical Input/Output Operations Per Second</t>
        </is>
      </c>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37">
      <c r="A116" s="1" t="n"/>
      <c r="B116" s="21" t="inlineStr">
        <is>
          <t>Peak IOPS</t>
        </is>
      </c>
      <c r="C116" s="22" t="inlineStr">
        <is>
          <t>Maximum Input/Output Operations Per Second during peak usage</t>
        </is>
      </c>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37">
      <c r="A117" s="1" t="n"/>
      <c r="B117" s="21" t="inlineStr">
        <is>
          <t>AdditionalIOPSRequired_CO</t>
        </is>
      </c>
      <c r="C117" s="22" t="inlineStr">
        <is>
          <t>Extra IOPS needed in cost-optimized scenario</t>
        </is>
      </c>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37">
      <c r="A118" s="1" t="n"/>
      <c r="B118" s="21" t="inlineStr">
        <is>
          <t>Estimated Monthly AWS IOPS Cost (Cost Optimized)</t>
        </is>
      </c>
      <c r="C118" s="22" t="inlineStr">
        <is>
          <t>Projected monthly IOPS costs after optimization</t>
        </is>
      </c>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37">
      <c r="A119" s="1" t="n"/>
      <c r="B119" s="21" t="inlineStr">
        <is>
          <t>Average Throughput</t>
        </is>
      </c>
      <c r="C119" s="22" t="inlineStr">
        <is>
          <t>Typical data transfer rate</t>
        </is>
      </c>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37">
      <c r="A120" s="1" t="n"/>
      <c r="B120" s="21" t="inlineStr">
        <is>
          <t>Peak Throughput</t>
        </is>
      </c>
      <c r="C120" s="22" t="inlineStr">
        <is>
          <t>Maximum data transfer rate</t>
        </is>
      </c>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37">
      <c r="A121" s="1" t="n"/>
      <c r="B121" s="21" t="inlineStr">
        <is>
          <t>AdditionalThroughputRequired_CO</t>
        </is>
      </c>
      <c r="C121" s="22" t="inlineStr">
        <is>
          <t>Extra throughput needed in cost-optimized scenario</t>
        </is>
      </c>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37">
      <c r="A122" s="1" t="n"/>
      <c r="B122" s="21" t="inlineStr">
        <is>
          <t>Estimated Monthly AWS Throughput Cost (Cost Optimized)</t>
        </is>
      </c>
      <c r="C122" s="22" t="inlineStr">
        <is>
          <t>Projected monthly throughput costs after optimization</t>
        </is>
      </c>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37">
      <c r="A123" s="1" t="n"/>
      <c r="B123" s="21" t="inlineStr">
        <is>
          <t>Estimated Monthly AWS Cost (Cost Optimized)</t>
        </is>
      </c>
      <c r="C123" s="22" t="inlineStr">
        <is>
          <t>Total projected monthly AWS costs after optimization</t>
        </is>
      </c>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37">
      <c r="A124" s="1" t="n"/>
      <c r="B124" s="23" t="inlineStr">
        <is>
          <t>Estimated Annual AWS Cost (Cost Optimized)</t>
        </is>
      </c>
      <c r="C124" s="27" t="inlineStr">
        <is>
          <t>Total projected annual AWS costs after optimization</t>
        </is>
      </c>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6.5" customHeight="1" s="37">
      <c r="A125" s="1" t="n"/>
      <c r="B125" s="14" t="n"/>
      <c r="C125" s="14"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6.5" customHeight="1" s="37">
      <c r="A126" s="1" t="n"/>
      <c r="B126" s="64" t="inlineStr">
        <is>
          <t>Block-EBS-1-2-Many</t>
        </is>
      </c>
      <c r="C126" s="65"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37">
      <c r="A127" s="1" t="n"/>
      <c r="B127" s="19" t="inlineStr">
        <is>
          <t>Volume Name</t>
        </is>
      </c>
      <c r="C127" s="20" t="inlineStr">
        <is>
          <t>Unique identifier for the storage volume</t>
        </is>
      </c>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37">
      <c r="A128" s="1" t="n"/>
      <c r="B128" s="21" t="inlineStr">
        <is>
          <t>VolumeTypeFlag</t>
        </is>
      </c>
      <c r="C128" s="22" t="inlineStr">
        <is>
          <t>Physical or virtual</t>
        </is>
      </c>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37">
      <c r="A129" s="1" t="n"/>
      <c r="B129" s="21" t="inlineStr">
        <is>
          <t>Storage Array Name</t>
        </is>
      </c>
      <c r="C129" s="22" t="inlineStr">
        <is>
          <t>Name/identifier of the storage system</t>
        </is>
      </c>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37">
      <c r="A130" s="1" t="n"/>
      <c r="B130" s="21" t="inlineStr">
        <is>
          <t>Vendor</t>
        </is>
      </c>
      <c r="C130" s="22" t="inlineStr">
        <is>
          <t>Manufacturer of the storage system</t>
        </is>
      </c>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37">
      <c r="A131" s="1" t="n"/>
      <c r="B131" s="21" t="inlineStr">
        <is>
          <t>Evaluation Error</t>
        </is>
      </c>
      <c r="C131" s="22" t="inlineStr">
        <is>
          <t>Any errors encountered during assessment</t>
        </is>
      </c>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37">
      <c r="A132" s="1" t="n"/>
      <c r="B132" s="21" t="inlineStr">
        <is>
          <t>Zombie</t>
        </is>
      </c>
      <c r="C132" s="22" t="inlineStr">
        <is>
          <t>Unused storage volume</t>
        </is>
      </c>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37">
      <c r="A133" s="1" t="n"/>
      <c r="B133" s="21" t="inlineStr">
        <is>
          <t>AWS Service Mapping (1-2 Many)</t>
        </is>
      </c>
      <c r="C133" s="22" t="inlineStr">
        <is>
          <t>Recommended AWS storage service</t>
        </is>
      </c>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37">
      <c r="A134" s="1" t="n"/>
      <c r="B134" s="21" t="inlineStr">
        <is>
          <t>VirtualBootVolumeType</t>
        </is>
      </c>
      <c r="C134" s="22" t="inlineStr">
        <is>
          <t>Type of boot volume for virtual instances</t>
        </is>
      </c>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37">
      <c r="A135" s="1" t="n"/>
      <c r="B135" s="21" t="inlineStr">
        <is>
          <t>12ManySupport</t>
        </is>
      </c>
      <c r="C135" s="22" t="inlineStr">
        <is>
          <t>Yes/No</t>
        </is>
      </c>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37">
      <c r="A136" s="1" t="n"/>
      <c r="B136" s="21" t="inlineStr">
        <is>
          <t>DataStore Name</t>
        </is>
      </c>
      <c r="C136" s="22" t="inlineStr">
        <is>
          <t>Name of the data storage location</t>
        </is>
      </c>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37">
      <c r="A137" s="1" t="n"/>
      <c r="B137" s="21" t="inlineStr">
        <is>
          <t>Scope</t>
        </is>
      </c>
      <c r="C137" s="22" t="inlineStr">
        <is>
          <t>Whether the storage volume is in scope for the assessment</t>
        </is>
      </c>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37">
      <c r="A138" s="1" t="n"/>
      <c r="B138" s="21" t="inlineStr">
        <is>
          <t>Multi Attach</t>
        </is>
      </c>
      <c r="C138" s="22" t="inlineStr">
        <is>
          <t>Capability for multiple instance attachments</t>
        </is>
      </c>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37">
      <c r="A139" s="1" t="n"/>
      <c r="B139" s="21" t="inlineStr">
        <is>
          <t>AWS Region</t>
        </is>
      </c>
      <c r="C139" s="22" t="inlineStr">
        <is>
          <t>Target AWS region for migration</t>
        </is>
      </c>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37">
      <c r="A140" s="1" t="n"/>
      <c r="B140" s="21" t="inlineStr">
        <is>
          <t>VirtualBootVolumeSizeGB</t>
        </is>
      </c>
      <c r="C140" s="22" t="inlineStr">
        <is>
          <t>Size of boot volume in gigabytes</t>
        </is>
      </c>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37">
      <c r="A141" s="1" t="n"/>
      <c r="B141" s="21" t="inlineStr">
        <is>
          <t>VirtualBootVolumeCount</t>
        </is>
      </c>
      <c r="C141" s="22" t="inlineStr">
        <is>
          <t>Number of boot volumes</t>
        </is>
      </c>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37">
      <c r="A142" s="1" t="n"/>
      <c r="B142" s="21" t="inlineStr">
        <is>
          <t>VirtualBootVolumeMonthlyCost</t>
        </is>
      </c>
      <c r="C142" s="22" t="inlineStr">
        <is>
          <t>Monthly cost for boot volumes</t>
        </is>
      </c>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37">
      <c r="A143" s="1" t="n"/>
      <c r="B143" s="21" t="inlineStr">
        <is>
          <t>VirtualBootVolumeAnnualCost</t>
        </is>
      </c>
      <c r="C143" s="22" t="inlineStr">
        <is>
          <t>Annual cost for boot volumes</t>
        </is>
      </c>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37">
      <c r="A144" s="1" t="n"/>
      <c r="B144" s="21" t="inlineStr">
        <is>
          <t>VolumeCount_12Many</t>
        </is>
      </c>
      <c r="C144" s="22" t="inlineStr">
        <is>
          <t>Number of volumes in 1-to-many scenario</t>
        </is>
      </c>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37">
      <c r="A145" s="1" t="n"/>
      <c r="B145" s="21" t="inlineStr">
        <is>
          <t>Average Latency</t>
        </is>
      </c>
      <c r="C145" s="22" t="inlineStr">
        <is>
          <t>Typical response time for storage operations</t>
        </is>
      </c>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37">
      <c r="A146" s="1" t="n"/>
      <c r="B146" s="21" t="inlineStr">
        <is>
          <t>Capacity Total</t>
        </is>
      </c>
      <c r="C146" s="22" t="inlineStr">
        <is>
          <t>Total storage capacity allocated to the volume</t>
        </is>
      </c>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37">
      <c r="A147" s="1" t="n"/>
      <c r="B147" s="21" t="inlineStr">
        <is>
          <t>Capacity Used</t>
        </is>
      </c>
      <c r="C147" s="22" t="inlineStr">
        <is>
          <t>Actual storage space being utilized</t>
        </is>
      </c>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37">
      <c r="A148" s="1" t="n"/>
      <c r="B148" s="21" t="inlineStr">
        <is>
          <t>AdjustedStorageCapacity_12Many</t>
        </is>
      </c>
      <c r="C148" s="22" t="inlineStr">
        <is>
          <t>Modified capacity for 1-to-many scenario</t>
        </is>
      </c>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37">
      <c r="A149" s="1" t="n"/>
      <c r="B149" s="21" t="inlineStr">
        <is>
          <t>AdjustedCapacityWithboot_12Many</t>
        </is>
      </c>
      <c r="C149" s="22" t="inlineStr">
        <is>
          <t>Modified capacity including boot volumes</t>
        </is>
      </c>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37">
      <c r="A150" s="1" t="n"/>
      <c r="B150" s="21" t="inlineStr">
        <is>
          <t>Estimated Monthly AWS Storage Cost (1-2 Many)</t>
        </is>
      </c>
      <c r="C150" s="22" t="inlineStr">
        <is>
          <t>Projected monthly AWS storage costs for 1-to-many scenario</t>
        </is>
      </c>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37">
      <c r="A151" s="1" t="n"/>
      <c r="B151" s="21" t="inlineStr">
        <is>
          <t>Average IOPS</t>
        </is>
      </c>
      <c r="C151" s="22" t="inlineStr">
        <is>
          <t>Typical Input/Output Operations Per Second</t>
        </is>
      </c>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37">
      <c r="A152" s="1" t="n"/>
      <c r="B152" s="21" t="inlineStr">
        <is>
          <t>Peak IOPS</t>
        </is>
      </c>
      <c r="C152" s="22" t="inlineStr">
        <is>
          <t>Maximum Input/Output Operations Per Second during peak usage</t>
        </is>
      </c>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37">
      <c r="A153" s="1" t="n"/>
      <c r="B153" s="21" t="inlineStr">
        <is>
          <t>AdditionalIOPSRequired_12Many</t>
        </is>
      </c>
      <c r="C153" s="22" t="inlineStr">
        <is>
          <t>Extra IOPS needed in 1-to-many scenario</t>
        </is>
      </c>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37">
      <c r="A154" s="1" t="n"/>
      <c r="B154" s="21" t="inlineStr">
        <is>
          <t>Estimated Monthly AWS IOPS Cost (1-2 Many)</t>
        </is>
      </c>
      <c r="C154" s="22" t="inlineStr">
        <is>
          <t>Projected monthly IOPS costs  for 1-to-many scenario</t>
        </is>
      </c>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37">
      <c r="A155" s="1" t="n"/>
      <c r="B155" s="21" t="inlineStr">
        <is>
          <t>Average Throughput</t>
        </is>
      </c>
      <c r="C155" s="22" t="inlineStr">
        <is>
          <t>Typical data transfer rate</t>
        </is>
      </c>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37">
      <c r="A156" s="1" t="n"/>
      <c r="B156" s="21" t="inlineStr">
        <is>
          <t>Peak Throughput</t>
        </is>
      </c>
      <c r="C156" s="22" t="inlineStr">
        <is>
          <t>Maximum data transfer rate</t>
        </is>
      </c>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37">
      <c r="A157" s="1" t="n"/>
      <c r="B157" s="21" t="inlineStr">
        <is>
          <t>AdditionalThroughputRequired_12Many</t>
        </is>
      </c>
      <c r="C157" s="22" t="inlineStr">
        <is>
          <t>Extra throughput needed  for 1-to-many scenario</t>
        </is>
      </c>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37">
      <c r="A158" s="1" t="n"/>
      <c r="B158" s="21" t="inlineStr">
        <is>
          <t>Estimated Monthly AWS Throughput Cost (1-2 Many)</t>
        </is>
      </c>
      <c r="C158" s="22" t="inlineStr">
        <is>
          <t>Projected monthly throughput costs  for 1-to-many scenario</t>
        </is>
      </c>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37">
      <c r="A159" s="1" t="n"/>
      <c r="B159" s="21" t="inlineStr">
        <is>
          <t>Estimated Monthly AWS Cost (1-2 Many)</t>
        </is>
      </c>
      <c r="C159" s="22" t="inlineStr">
        <is>
          <t>Total projected monthly AWS costs  for 1-to-many scenario</t>
        </is>
      </c>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37">
      <c r="A160" s="1" t="n"/>
      <c r="B160" s="23" t="inlineStr">
        <is>
          <t>Estimated Annual AWS Cost (1-2 Many)</t>
        </is>
      </c>
      <c r="C160" s="27" t="inlineStr">
        <is>
          <t>Total projected annual AWS costs  for 1-to-many scenario</t>
        </is>
      </c>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6.5" customHeight="1" s="37">
      <c r="A161" s="1" t="n"/>
      <c r="B161" s="14" t="n"/>
      <c r="C161" s="14"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6.5" customHeight="1" s="37">
      <c r="A162" s="1" t="n"/>
      <c r="B162" s="64" t="inlineStr">
        <is>
          <t>Block-FSxN</t>
        </is>
      </c>
      <c r="C162" s="65"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37">
      <c r="A163" s="1" t="n"/>
      <c r="B163" s="19" t="inlineStr">
        <is>
          <t>Volume Name</t>
        </is>
      </c>
      <c r="C163" s="20" t="inlineStr">
        <is>
          <t>Unique identifier for the storage volume</t>
        </is>
      </c>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37">
      <c r="A164" s="1" t="n"/>
      <c r="B164" s="21" t="inlineStr">
        <is>
          <t>Volume Type (Physical LUN or Virtual Disk)</t>
        </is>
      </c>
      <c r="C164" s="22" t="inlineStr">
        <is>
          <t>Physical or Virtual</t>
        </is>
      </c>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37">
      <c r="A165" s="1" t="n"/>
      <c r="B165" s="21" t="inlineStr">
        <is>
          <t>Scope</t>
        </is>
      </c>
      <c r="C165" s="22" t="inlineStr">
        <is>
          <t>Whether the storage volume is in scope for the assessment</t>
        </is>
      </c>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37">
      <c r="A166" s="1" t="n"/>
      <c r="B166" s="21" t="inlineStr">
        <is>
          <t>Zombie</t>
        </is>
      </c>
      <c r="C166" s="22" t="inlineStr">
        <is>
          <t>Unused storage volume</t>
        </is>
      </c>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37">
      <c r="A167" s="1" t="n"/>
      <c r="B167" s="21" t="inlineStr">
        <is>
          <t>Evaluation Error</t>
        </is>
      </c>
      <c r="C167" s="22" t="inlineStr">
        <is>
          <t>Name/identifier of the storage system</t>
        </is>
      </c>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37">
      <c r="A168" s="1" t="n"/>
      <c r="B168" s="21" t="inlineStr">
        <is>
          <t>Storage Array Name</t>
        </is>
      </c>
      <c r="C168" s="22" t="inlineStr">
        <is>
          <t>Name of the logical grouping for storage volume</t>
        </is>
      </c>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37">
      <c r="A169" s="1" t="n"/>
      <c r="B169" s="21" t="inlineStr">
        <is>
          <t>Storage Pool Name</t>
        </is>
      </c>
      <c r="C169" s="22" t="inlineStr">
        <is>
          <t>Name of the logical grouping for storage volume</t>
        </is>
      </c>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37">
      <c r="A170" s="1" t="n"/>
      <c r="B170" s="21" t="inlineStr">
        <is>
          <t>Virtual Boot Volume Type</t>
        </is>
      </c>
      <c r="C170" s="22" t="inlineStr">
        <is>
          <t>Specifies the AWS EBS volume type (like gp3, gp2, io2, etc.) used for booting virtual instances</t>
        </is>
      </c>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37">
      <c r="A171" s="1" t="n"/>
      <c r="B171" s="21" t="inlineStr">
        <is>
          <t>Capacity Total (GB)</t>
        </is>
      </c>
      <c r="C171" s="22" t="inlineStr">
        <is>
          <t>Total storage capacity allocated to the volume</t>
        </is>
      </c>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37">
      <c r="A172" s="1" t="n"/>
      <c r="B172" s="21" t="inlineStr">
        <is>
          <t>Capacity Used (GB)</t>
        </is>
      </c>
      <c r="C172" s="22" t="inlineStr">
        <is>
          <t>Actual storage space being utilized</t>
        </is>
      </c>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37">
      <c r="A173" s="1" t="n"/>
      <c r="B173" s="21" t="inlineStr">
        <is>
          <t>EBS Size (GB)</t>
        </is>
      </c>
      <c r="C173" s="22" t="inlineStr">
        <is>
          <t>Size of the boot volume</t>
        </is>
      </c>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37">
      <c r="A174" s="1" t="n"/>
      <c r="B174" s="21" t="inlineStr">
        <is>
          <t>Peak IOPS</t>
        </is>
      </c>
      <c r="C174" s="22" t="inlineStr">
        <is>
          <t>Maximum Input/Output Operations Per Second during peak usage</t>
        </is>
      </c>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37">
      <c r="A175" s="1" t="n"/>
      <c r="B175" s="21" t="inlineStr">
        <is>
          <t>RequiredIOPS</t>
        </is>
      </c>
      <c r="C175" s="22" t="inlineStr">
        <is>
          <t>Minimum IOPS needed to meet performance requirements</t>
        </is>
      </c>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37">
      <c r="A176" s="1" t="n"/>
      <c r="B176" s="21" t="inlineStr">
        <is>
          <t>Peak Throughput</t>
        </is>
      </c>
      <c r="C176" s="22" t="inlineStr">
        <is>
          <t>Maximum data transfer rate</t>
        </is>
      </c>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37">
      <c r="A177" s="1" t="n"/>
      <c r="B177" s="21" t="inlineStr">
        <is>
          <t xml:space="preserve">Required Throughput </t>
        </is>
      </c>
      <c r="C177" s="22" t="inlineStr">
        <is>
          <t>Minimum throughput needed to meet performance requirements</t>
        </is>
      </c>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37">
      <c r="A178" s="1" t="n"/>
      <c r="B178" s="21" t="inlineStr">
        <is>
          <t xml:space="preserve">Provisioned IOPS </t>
        </is>
      </c>
      <c r="C178" s="22" t="inlineStr">
        <is>
          <t>Allocated input/output operations per second</t>
        </is>
      </c>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37">
      <c r="A179" s="1" t="n"/>
      <c r="B179" s="21" t="inlineStr">
        <is>
          <t>Provisioned Throughput</t>
        </is>
      </c>
      <c r="C179" s="22" t="inlineStr">
        <is>
          <t>Allocated data transfer capacity</t>
        </is>
      </c>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37">
      <c r="A180" s="1" t="n"/>
      <c r="B180" s="21" t="inlineStr">
        <is>
          <t>SSD Capacity (GB)</t>
        </is>
      </c>
      <c r="C180" s="22" t="inlineStr">
        <is>
          <t>Storage capacity on SSD media</t>
        </is>
      </c>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37">
      <c r="A181" s="1" t="n"/>
      <c r="B181" s="21" t="inlineStr">
        <is>
          <t>SSD with Overheads (GB)</t>
        </is>
      </c>
      <c r="C181" s="22" t="inlineStr">
        <is>
          <t>SSD capacity including system overhead requirements</t>
        </is>
      </c>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37">
      <c r="A182" s="1" t="n"/>
      <c r="B182" s="21" t="inlineStr">
        <is>
          <t>Capacity Pool Capacity (GB)</t>
        </is>
      </c>
      <c r="C182" s="22" t="inlineStr">
        <is>
          <t>Available capacity in the storage pool</t>
        </is>
      </c>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37">
      <c r="A183" s="1" t="n"/>
      <c r="B183" s="21" t="inlineStr">
        <is>
          <t>Total File System Size (GB)</t>
        </is>
      </c>
      <c r="C183" s="22" t="inlineStr">
        <is>
          <t>Total size of the file system allocated to the volume</t>
        </is>
      </c>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37">
      <c r="A184" s="1" t="n"/>
      <c r="B184" s="21" t="inlineStr">
        <is>
          <t>Estimated Boot Volume Monthly Cost</t>
        </is>
      </c>
      <c r="C184" s="22" t="inlineStr">
        <is>
          <t>Total projected monthly AWS costs</t>
        </is>
      </c>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37">
      <c r="A185" s="1" t="n"/>
      <c r="B185" s="23" t="inlineStr">
        <is>
          <t>Estimated Boot Volume Annual Cost</t>
        </is>
      </c>
      <c r="C185" s="27" t="inlineStr">
        <is>
          <t xml:space="preserve">Total projected annual AWS costs </t>
        </is>
      </c>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6.5" customHeight="1" s="37">
      <c r="A186" s="1" t="n"/>
      <c r="B186" s="14" t="n"/>
      <c r="C186" s="14"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6.5" customHeight="1" s="37">
      <c r="A187" s="1" t="n"/>
      <c r="B187" s="63" t="inlineStr">
        <is>
          <t>FileServers-FSxN</t>
        </is>
      </c>
      <c r="C187" s="62"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37">
      <c r="A188" s="1" t="n"/>
      <c r="B188" s="25" t="inlineStr">
        <is>
          <t>Volume Name</t>
        </is>
      </c>
      <c r="C188" s="26" t="inlineStr">
        <is>
          <t>Unique identifier for the storage volume</t>
        </is>
      </c>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37">
      <c r="A189" s="1" t="n"/>
      <c r="B189" s="21" t="inlineStr">
        <is>
          <t>Storage Array Name</t>
        </is>
      </c>
      <c r="C189" s="22" t="inlineStr">
        <is>
          <t>Name/identifier of the storage system</t>
        </is>
      </c>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37">
      <c r="A190" s="1" t="n"/>
      <c r="B190" s="21" t="inlineStr">
        <is>
          <t>Storage Pool Name</t>
        </is>
      </c>
      <c r="C190" s="22" t="inlineStr">
        <is>
          <t>Name of the logical grouping for storage volume</t>
        </is>
      </c>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37">
      <c r="A191" s="1" t="n"/>
      <c r="B191" s="21" t="inlineStr">
        <is>
          <t>Vendor</t>
        </is>
      </c>
      <c r="C191" s="22" t="inlineStr">
        <is>
          <t>Manufacturer of the storage system</t>
        </is>
      </c>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37">
      <c r="A192" s="1" t="n"/>
      <c r="B192" s="21" t="inlineStr">
        <is>
          <t xml:space="preserve">Volume Type </t>
        </is>
      </c>
      <c r="C192" s="22" t="inlineStr">
        <is>
          <t>Type of voumes</t>
        </is>
      </c>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37">
      <c r="A193" s="1" t="n"/>
      <c r="B193" s="21" t="inlineStr">
        <is>
          <t>Zombie</t>
        </is>
      </c>
      <c r="C193" s="22" t="inlineStr">
        <is>
          <t>Unused storage volume</t>
        </is>
      </c>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37">
      <c r="A194" s="1" t="n"/>
      <c r="B194" s="21" t="inlineStr">
        <is>
          <t>Scope</t>
        </is>
      </c>
      <c r="C194" s="22" t="inlineStr">
        <is>
          <t>Whether the storage volume is in scope for the assessment</t>
        </is>
      </c>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37">
      <c r="A195" s="1" t="n"/>
      <c r="B195" s="21" t="inlineStr">
        <is>
          <t>Directional Tiering Policy</t>
        </is>
      </c>
      <c r="C195" s="22" t="inlineStr">
        <is>
          <t>Rules for automatically moving data between storage tiers</t>
        </is>
      </c>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37">
      <c r="A196" s="1" t="n"/>
      <c r="B196" s="21" t="inlineStr">
        <is>
          <t>Capacity Total</t>
        </is>
      </c>
      <c r="C196" s="22" t="inlineStr">
        <is>
          <t>Total storage capacity allocated to the volume</t>
        </is>
      </c>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37">
      <c r="A197" s="1" t="n"/>
      <c r="B197" s="21" t="inlineStr">
        <is>
          <t>Capacity Used</t>
        </is>
      </c>
      <c r="C197" s="22" t="inlineStr">
        <is>
          <t>Actual storage space being utilized</t>
        </is>
      </c>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37">
      <c r="A198" s="1" t="n"/>
      <c r="B198" s="21" t="inlineStr">
        <is>
          <t>Peak IOPS</t>
        </is>
      </c>
      <c r="C198" s="22" t="inlineStr">
        <is>
          <t>Maximum Input/Output Operations Per Second during peak usage</t>
        </is>
      </c>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37">
      <c r="A199" s="1" t="n"/>
      <c r="B199" s="21" t="inlineStr">
        <is>
          <t>Peak Throughput</t>
        </is>
      </c>
      <c r="C199" s="22" t="inlineStr">
        <is>
          <t>Maximum data transfer rate</t>
        </is>
      </c>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37">
      <c r="A200" s="1" t="n"/>
      <c r="B200" s="21" t="inlineStr">
        <is>
          <t xml:space="preserve">Required IOPS </t>
        </is>
      </c>
      <c r="C200" s="22" t="inlineStr">
        <is>
          <t>Minimum IOPS needed to meet performance requirements</t>
        </is>
      </c>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37">
      <c r="A201" s="1" t="n"/>
      <c r="B201" s="21" t="inlineStr">
        <is>
          <t xml:space="preserve">Required Throughput </t>
        </is>
      </c>
      <c r="C201" s="22" t="inlineStr">
        <is>
          <t>Minimum throughput needed to meet performance requirements</t>
        </is>
      </c>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37">
      <c r="A202" s="1" t="n"/>
      <c r="B202" s="21" t="inlineStr">
        <is>
          <t xml:space="preserve">Capacity Post Dedupe </t>
        </is>
      </c>
      <c r="C202" s="22" t="inlineStr">
        <is>
          <t>Storage capacity after deduplication has been applied</t>
        </is>
      </c>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37">
      <c r="A203" s="1" t="n"/>
      <c r="B203" s="21" t="inlineStr">
        <is>
          <t>SSD Capacity</t>
        </is>
      </c>
      <c r="C203" s="22" t="inlineStr">
        <is>
          <t>Storage capacity on SSD media</t>
        </is>
      </c>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37">
      <c r="A204" s="1" t="n"/>
      <c r="B204" s="21" t="inlineStr">
        <is>
          <t>SSD-Capacity with Overheads</t>
        </is>
      </c>
      <c r="C204" s="22" t="inlineStr">
        <is>
          <t>SSD capacity including system overhead requirements</t>
        </is>
      </c>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37">
      <c r="A205" s="1" t="n"/>
      <c r="B205" s="21" t="inlineStr">
        <is>
          <t>Capacity Pool Capacity</t>
        </is>
      </c>
      <c r="C205" s="22" t="inlineStr">
        <is>
          <t>Available capacity in the storage pool</t>
        </is>
      </c>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6.5" customHeight="1" s="37">
      <c r="A206" s="1" t="n"/>
      <c r="B206" s="23" t="inlineStr">
        <is>
          <t>Total FileSystem Size</t>
        </is>
      </c>
      <c r="C206" s="24" t="inlineStr">
        <is>
          <t>Total size of the file system allocated to the volume</t>
        </is>
      </c>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37">
      <c r="A207" s="1" t="n"/>
      <c r="B207" s="14" t="n"/>
      <c r="C207" s="14"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37">
      <c r="A208" s="1" t="n"/>
      <c r="B208" s="14" t="n"/>
      <c r="C208" s="14"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37">
      <c r="A209" s="1" t="n"/>
      <c r="B209" s="14" t="n"/>
      <c r="C209" s="14"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37">
      <c r="A210" s="1" t="n"/>
      <c r="B210" s="14" t="n"/>
      <c r="C210" s="14"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37">
      <c r="A211" s="1" t="n"/>
      <c r="B211" s="14" t="n"/>
      <c r="C211" s="14"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37">
      <c r="A212" s="1" t="n"/>
      <c r="B212" s="14" t="n"/>
      <c r="C212" s="14"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37">
      <c r="A213" s="1" t="n"/>
      <c r="B213" s="14" t="n"/>
      <c r="C213" s="14"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37">
      <c r="A214" s="1" t="n"/>
      <c r="B214" s="14" t="n"/>
      <c r="C214" s="14"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37">
      <c r="A215" s="1" t="n"/>
      <c r="B215" s="14" t="n"/>
      <c r="C215" s="14"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37">
      <c r="A216" s="1" t="n"/>
      <c r="B216" s="14" t="n"/>
      <c r="C216" s="14"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37">
      <c r="A217" s="1" t="n"/>
      <c r="B217" s="14" t="n"/>
      <c r="C217" s="14"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37">
      <c r="A218" s="1" t="n"/>
      <c r="B218" s="14" t="n"/>
      <c r="C218" s="14"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37">
      <c r="A219" s="1" t="n"/>
      <c r="B219" s="14" t="n"/>
      <c r="C219" s="14"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37">
      <c r="A220" s="1" t="n"/>
      <c r="B220" s="14" t="n"/>
      <c r="C220" s="14"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37">
      <c r="A221" s="1" t="n"/>
      <c r="B221" s="14" t="n"/>
      <c r="C221" s="14"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37">
      <c r="A222" s="1" t="n"/>
      <c r="B222" s="14" t="n"/>
      <c r="C222" s="14"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37">
      <c r="A223" s="1" t="n"/>
      <c r="B223" s="14" t="n"/>
      <c r="C223" s="14"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37">
      <c r="A224" s="1" t="n"/>
      <c r="B224" s="14" t="n"/>
      <c r="C224" s="14"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37">
      <c r="A225" s="1" t="n"/>
      <c r="B225" s="14" t="n"/>
      <c r="C225" s="14"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37">
      <c r="A226" s="1" t="n"/>
      <c r="B226" s="14" t="n"/>
      <c r="C226" s="14"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37">
      <c r="A227" s="1" t="n"/>
      <c r="B227" s="14" t="n"/>
      <c r="C227" s="14"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37">
      <c r="A228" s="1" t="n"/>
      <c r="B228" s="14" t="n"/>
      <c r="C228" s="14"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37">
      <c r="A229" s="1" t="n"/>
      <c r="B229" s="14" t="n"/>
      <c r="C229" s="14"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37">
      <c r="A230" s="1" t="n"/>
      <c r="B230" s="14" t="n"/>
      <c r="C230" s="14"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37">
      <c r="A231" s="1" t="n"/>
      <c r="B231" s="14" t="n"/>
      <c r="C231" s="14"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37">
      <c r="A232" s="1" t="n"/>
      <c r="B232" s="14" t="n"/>
      <c r="C232" s="14"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37">
      <c r="A233" s="1" t="n"/>
      <c r="B233" s="14" t="n"/>
      <c r="C233" s="14"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37">
      <c r="A234" s="1" t="n"/>
      <c r="B234" s="14" t="n"/>
      <c r="C234" s="14"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37">
      <c r="A235" s="1" t="n"/>
      <c r="B235" s="14" t="n"/>
      <c r="C235" s="14"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37">
      <c r="A236" s="1" t="n"/>
      <c r="B236" s="14" t="n"/>
      <c r="C236" s="14"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37">
      <c r="A237" s="1" t="n"/>
      <c r="B237" s="14" t="n"/>
      <c r="C237" s="14"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37">
      <c r="A238" s="1" t="n"/>
      <c r="B238" s="14" t="n"/>
      <c r="C238" s="14"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37">
      <c r="A239" s="1" t="n"/>
      <c r="B239" s="14" t="n"/>
      <c r="C239" s="14"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37">
      <c r="A240" s="1" t="n"/>
      <c r="B240" s="14" t="n"/>
      <c r="C240" s="14"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37">
      <c r="A241" s="1" t="n"/>
      <c r="B241" s="14" t="n"/>
      <c r="C241" s="14"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37">
      <c r="A242" s="1" t="n"/>
      <c r="B242" s="14" t="n"/>
      <c r="C242" s="14"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37">
      <c r="A243" s="1" t="n"/>
      <c r="B243" s="14" t="n"/>
      <c r="C243" s="14"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37">
      <c r="A244" s="1" t="n"/>
      <c r="B244" s="14" t="n"/>
      <c r="C244" s="14"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37">
      <c r="A245" s="1" t="n"/>
      <c r="B245" s="14" t="n"/>
      <c r="C245" s="14"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37">
      <c r="A246" s="1" t="n"/>
      <c r="B246" s="14" t="n"/>
      <c r="C246" s="14"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37">
      <c r="A247" s="1" t="n"/>
      <c r="B247" s="14" t="n"/>
      <c r="C247" s="14"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37">
      <c r="A248" s="1" t="n"/>
      <c r="B248" s="14" t="n"/>
      <c r="C248" s="14"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37">
      <c r="A249" s="1" t="n"/>
      <c r="B249" s="14" t="n"/>
      <c r="C249" s="14"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37">
      <c r="A250" s="1" t="n"/>
      <c r="B250" s="14" t="n"/>
      <c r="C250" s="14"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37">
      <c r="A251" s="1" t="n"/>
      <c r="B251" s="14" t="n"/>
      <c r="C251" s="14"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37">
      <c r="A252" s="1" t="n"/>
      <c r="B252" s="14" t="n"/>
      <c r="C252" s="14"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37">
      <c r="A253" s="1" t="n"/>
      <c r="B253" s="14" t="n"/>
      <c r="C253" s="14"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37">
      <c r="A254" s="1" t="n"/>
      <c r="B254" s="14" t="n"/>
      <c r="C254" s="14"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37">
      <c r="A255" s="1" t="n"/>
      <c r="B255" s="14" t="n"/>
      <c r="C255" s="14"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37">
      <c r="A256" s="1" t="n"/>
      <c r="B256" s="14" t="n"/>
      <c r="C256" s="14"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37">
      <c r="A257" s="1" t="n"/>
      <c r="B257" s="14" t="n"/>
      <c r="C257" s="14"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37">
      <c r="A258" s="1" t="n"/>
      <c r="B258" s="14" t="n"/>
      <c r="C258" s="14"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37">
      <c r="A259" s="1" t="n"/>
      <c r="B259" s="14" t="n"/>
      <c r="C259" s="14"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37">
      <c r="A260" s="1" t="n"/>
      <c r="B260" s="14" t="n"/>
      <c r="C260" s="14"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37">
      <c r="A261" s="1" t="n"/>
      <c r="B261" s="14" t="n"/>
      <c r="C261" s="14"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37">
      <c r="A262" s="1" t="n"/>
      <c r="B262" s="14" t="n"/>
      <c r="C262" s="14"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37">
      <c r="A263" s="1" t="n"/>
      <c r="B263" s="14" t="n"/>
      <c r="C263" s="14"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37">
      <c r="A264" s="1" t="n"/>
      <c r="B264" s="14" t="n"/>
      <c r="C264" s="14"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37">
      <c r="A265" s="1" t="n"/>
      <c r="B265" s="14" t="n"/>
      <c r="C265" s="14"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37">
      <c r="A266" s="1" t="n"/>
      <c r="B266" s="14" t="n"/>
      <c r="C266" s="14"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37">
      <c r="A267" s="1" t="n"/>
      <c r="B267" s="14" t="n"/>
      <c r="C267" s="14"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37">
      <c r="A268" s="1" t="n"/>
      <c r="B268" s="14" t="n"/>
      <c r="C268" s="14"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37">
      <c r="A269" s="1" t="n"/>
      <c r="B269" s="14" t="n"/>
      <c r="C269" s="14"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37">
      <c r="A270" s="1" t="n"/>
      <c r="B270" s="14" t="n"/>
      <c r="C270" s="14"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37">
      <c r="A271" s="1" t="n"/>
      <c r="B271" s="14" t="n"/>
      <c r="C271" s="14"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37">
      <c r="A272" s="1" t="n"/>
      <c r="B272" s="14" t="n"/>
      <c r="C272" s="14"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37">
      <c r="A273" s="1" t="n"/>
      <c r="B273" s="14" t="n"/>
      <c r="C273" s="14"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37">
      <c r="A274" s="1" t="n"/>
      <c r="B274" s="14" t="n"/>
      <c r="C274" s="14"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37">
      <c r="A275" s="1" t="n"/>
      <c r="B275" s="14" t="n"/>
      <c r="C275" s="14"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37">
      <c r="A276" s="1" t="n"/>
      <c r="B276" s="14" t="n"/>
      <c r="C276" s="14"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37">
      <c r="A277" s="1" t="n"/>
      <c r="B277" s="14" t="n"/>
      <c r="C277" s="14"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37">
      <c r="A278" s="1" t="n"/>
      <c r="B278" s="14" t="n"/>
      <c r="C278" s="14"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37">
      <c r="A279" s="1" t="n"/>
      <c r="B279" s="14" t="n"/>
      <c r="C279" s="14"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37">
      <c r="A280" s="1" t="n"/>
      <c r="B280" s="14" t="n"/>
      <c r="C280" s="14"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37">
      <c r="A281" s="1" t="n"/>
      <c r="B281" s="14" t="n"/>
      <c r="C281" s="14"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37">
      <c r="A282" s="1" t="n"/>
      <c r="B282" s="14" t="n"/>
      <c r="C282" s="14"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37">
      <c r="A283" s="1" t="n"/>
      <c r="B283" s="14" t="n"/>
      <c r="C283" s="14"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37">
      <c r="A284" s="1" t="n"/>
      <c r="B284" s="14" t="n"/>
      <c r="C284" s="14"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37">
      <c r="A285" s="1" t="n"/>
      <c r="B285" s="14" t="n"/>
      <c r="C285" s="14"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37">
      <c r="A286" s="1" t="n"/>
      <c r="B286" s="14" t="n"/>
      <c r="C286" s="14"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37">
      <c r="A287" s="1" t="n"/>
      <c r="B287" s="14" t="n"/>
      <c r="C287" s="14"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37">
      <c r="A288" s="1" t="n"/>
      <c r="B288" s="14" t="n"/>
      <c r="C288" s="14"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37">
      <c r="A289" s="1" t="n"/>
      <c r="B289" s="14" t="n"/>
      <c r="C289" s="14"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37">
      <c r="A290" s="1" t="n"/>
      <c r="B290" s="14" t="n"/>
      <c r="C290" s="14"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37">
      <c r="A291" s="1" t="n"/>
      <c r="B291" s="14" t="n"/>
      <c r="C291" s="14"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37">
      <c r="A292" s="1" t="n"/>
      <c r="B292" s="14" t="n"/>
      <c r="C292" s="14"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37">
      <c r="A293" s="1" t="n"/>
      <c r="B293" s="14" t="n"/>
      <c r="C293" s="14"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37">
      <c r="A294" s="1" t="n"/>
      <c r="B294" s="14" t="n"/>
      <c r="C294" s="14"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37">
      <c r="A295" s="1" t="n"/>
      <c r="B295" s="14" t="n"/>
      <c r="C295" s="14"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37">
      <c r="A296" s="1" t="n"/>
      <c r="B296" s="14" t="n"/>
      <c r="C296" s="14"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37">
      <c r="A297" s="1" t="n"/>
      <c r="B297" s="14" t="n"/>
      <c r="C297" s="14"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37">
      <c r="A298" s="1" t="n"/>
      <c r="B298" s="14" t="n"/>
      <c r="C298" s="14"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37">
      <c r="A299" s="1" t="n"/>
      <c r="B299" s="14" t="n"/>
      <c r="C299" s="14"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37">
      <c r="A300" s="1" t="n"/>
      <c r="B300" s="14" t="n"/>
      <c r="C300" s="14"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37">
      <c r="A301" s="1" t="n"/>
      <c r="B301" s="14" t="n"/>
      <c r="C301" s="14"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37">
      <c r="A302" s="1" t="n"/>
      <c r="B302" s="14" t="n"/>
      <c r="C302" s="14"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37">
      <c r="A303" s="1" t="n"/>
      <c r="B303" s="14" t="n"/>
      <c r="C303" s="14"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37">
      <c r="A304" s="1" t="n"/>
      <c r="B304" s="14" t="n"/>
      <c r="C304" s="14"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37">
      <c r="A305" s="1" t="n"/>
      <c r="B305" s="14" t="n"/>
      <c r="C305" s="14"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37">
      <c r="A306" s="1" t="n"/>
      <c r="B306" s="14" t="n"/>
      <c r="C306" s="14"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37">
      <c r="A307" s="1" t="n"/>
      <c r="B307" s="14" t="n"/>
      <c r="C307" s="14"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37">
      <c r="A308" s="1" t="n"/>
      <c r="B308" s="14" t="n"/>
      <c r="C308" s="14"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37">
      <c r="A309" s="1" t="n"/>
      <c r="B309" s="14" t="n"/>
      <c r="C309" s="14"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37">
      <c r="A310" s="1" t="n"/>
      <c r="B310" s="14" t="n"/>
      <c r="C310" s="14"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37">
      <c r="A311" s="1" t="n"/>
      <c r="B311" s="14" t="n"/>
      <c r="C311" s="14"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37">
      <c r="A312" s="1" t="n"/>
      <c r="B312" s="14" t="n"/>
      <c r="C312" s="14"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37">
      <c r="A313" s="1" t="n"/>
      <c r="B313" s="14" t="n"/>
      <c r="C313" s="14"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37">
      <c r="A314" s="1" t="n"/>
      <c r="B314" s="14" t="n"/>
      <c r="C314" s="14"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37">
      <c r="A315" s="1" t="n"/>
      <c r="B315" s="14" t="n"/>
      <c r="C315" s="14"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37">
      <c r="A316" s="1" t="n"/>
      <c r="B316" s="14" t="n"/>
      <c r="C316" s="14"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37">
      <c r="A317" s="1" t="n"/>
      <c r="B317" s="14" t="n"/>
      <c r="C317" s="14"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37">
      <c r="A318" s="1" t="n"/>
      <c r="B318" s="14" t="n"/>
      <c r="C318" s="14"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37">
      <c r="A319" s="1" t="n"/>
      <c r="B319" s="14" t="n"/>
      <c r="C319" s="14"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37">
      <c r="A320" s="1" t="n"/>
      <c r="B320" s="14" t="n"/>
      <c r="C320" s="14"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37">
      <c r="A321" s="1" t="n"/>
      <c r="B321" s="14" t="n"/>
      <c r="C321" s="14"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37">
      <c r="A322" s="1" t="n"/>
      <c r="B322" s="14" t="n"/>
      <c r="C322" s="14"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37">
      <c r="A323" s="1" t="n"/>
      <c r="B323" s="14" t="n"/>
      <c r="C323" s="14"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37">
      <c r="A324" s="1" t="n"/>
      <c r="B324" s="14" t="n"/>
      <c r="C324" s="14"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37">
      <c r="A325" s="1" t="n"/>
      <c r="B325" s="14" t="n"/>
      <c r="C325" s="14"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37">
      <c r="A326" s="1" t="n"/>
      <c r="B326" s="14" t="n"/>
      <c r="C326" s="14"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37">
      <c r="A327" s="1" t="n"/>
      <c r="B327" s="14" t="n"/>
      <c r="C327" s="14"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37">
      <c r="A328" s="1" t="n"/>
      <c r="B328" s="14" t="n"/>
      <c r="C328" s="14"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37">
      <c r="A329" s="1" t="n"/>
      <c r="B329" s="14" t="n"/>
      <c r="C329" s="14"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37">
      <c r="A330" s="1" t="n"/>
      <c r="B330" s="14" t="n"/>
      <c r="C330" s="14"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37">
      <c r="A331" s="1" t="n"/>
      <c r="B331" s="14" t="n"/>
      <c r="C331" s="14"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37">
      <c r="A332" s="1" t="n"/>
      <c r="B332" s="14" t="n"/>
      <c r="C332" s="14"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37">
      <c r="A333" s="1" t="n"/>
      <c r="B333" s="14" t="n"/>
      <c r="C333" s="14"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37">
      <c r="A334" s="1" t="n"/>
      <c r="B334" s="14" t="n"/>
      <c r="C334" s="14"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37">
      <c r="A335" s="1" t="n"/>
      <c r="B335" s="14" t="n"/>
      <c r="C335" s="14"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37">
      <c r="A336" s="1" t="n"/>
      <c r="B336" s="14" t="n"/>
      <c r="C336" s="14"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37">
      <c r="A337" s="1" t="n"/>
      <c r="B337" s="14" t="n"/>
      <c r="C337" s="14"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37">
      <c r="A338" s="1" t="n"/>
      <c r="B338" s="14" t="n"/>
      <c r="C338" s="14"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37">
      <c r="A339" s="1" t="n"/>
      <c r="B339" s="14" t="n"/>
      <c r="C339" s="14"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37">
      <c r="A340" s="1" t="n"/>
      <c r="B340" s="14" t="n"/>
      <c r="C340" s="14"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37">
      <c r="A341" s="1" t="n"/>
      <c r="B341" s="14" t="n"/>
      <c r="C341" s="14"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37">
      <c r="A342" s="1" t="n"/>
      <c r="B342" s="14" t="n"/>
      <c r="C342" s="14"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37">
      <c r="A343" s="1" t="n"/>
      <c r="B343" s="14" t="n"/>
      <c r="C343" s="14"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37">
      <c r="A344" s="1" t="n"/>
      <c r="B344" s="14" t="n"/>
      <c r="C344" s="14"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37">
      <c r="A345" s="1" t="n"/>
      <c r="B345" s="14" t="n"/>
      <c r="C345" s="14"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37">
      <c r="A346" s="1" t="n"/>
      <c r="B346" s="14" t="n"/>
      <c r="C346" s="14"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37">
      <c r="A347" s="1" t="n"/>
      <c r="B347" s="14" t="n"/>
      <c r="C347" s="14"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37">
      <c r="A348" s="1" t="n"/>
      <c r="B348" s="14" t="n"/>
      <c r="C348" s="14"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37">
      <c r="A349" s="1" t="n"/>
      <c r="B349" s="14" t="n"/>
      <c r="C349" s="14"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37">
      <c r="A350" s="1" t="n"/>
      <c r="B350" s="14" t="n"/>
      <c r="C350" s="14"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37">
      <c r="A351" s="1" t="n"/>
      <c r="B351" s="14" t="n"/>
      <c r="C351" s="14"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37">
      <c r="A352" s="1" t="n"/>
      <c r="B352" s="14" t="n"/>
      <c r="C352" s="14"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37">
      <c r="A353" s="1" t="n"/>
      <c r="B353" s="14" t="n"/>
      <c r="C353" s="14"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37">
      <c r="A354" s="1" t="n"/>
      <c r="B354" s="14" t="n"/>
      <c r="C354" s="14"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37">
      <c r="A355" s="1" t="n"/>
      <c r="B355" s="14" t="n"/>
      <c r="C355" s="14"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37">
      <c r="A356" s="1" t="n"/>
      <c r="B356" s="14" t="n"/>
      <c r="C356" s="14"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37">
      <c r="A357" s="1" t="n"/>
      <c r="B357" s="14" t="n"/>
      <c r="C357" s="14"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37">
      <c r="A358" s="1" t="n"/>
      <c r="B358" s="14" t="n"/>
      <c r="C358" s="14"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37">
      <c r="A359" s="1" t="n"/>
      <c r="B359" s="14" t="n"/>
      <c r="C359" s="14"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37">
      <c r="A360" s="1" t="n"/>
      <c r="B360" s="14" t="n"/>
      <c r="C360" s="14"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37">
      <c r="A361" s="1" t="n"/>
      <c r="B361" s="14" t="n"/>
      <c r="C361" s="14"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37">
      <c r="A362" s="1" t="n"/>
      <c r="B362" s="14" t="n"/>
      <c r="C362" s="14"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37">
      <c r="A363" s="1" t="n"/>
      <c r="B363" s="14" t="n"/>
      <c r="C363" s="14"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37">
      <c r="A364" s="1" t="n"/>
      <c r="B364" s="14" t="n"/>
      <c r="C364" s="14"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37">
      <c r="A365" s="1" t="n"/>
      <c r="B365" s="14" t="n"/>
      <c r="C365" s="14"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37">
      <c r="A366" s="1" t="n"/>
      <c r="B366" s="14" t="n"/>
      <c r="C366" s="14"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37">
      <c r="A367" s="1" t="n"/>
      <c r="B367" s="14" t="n"/>
      <c r="C367" s="14"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37">
      <c r="A368" s="1" t="n"/>
      <c r="B368" s="14" t="n"/>
      <c r="C368" s="14"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37">
      <c r="A369" s="1" t="n"/>
      <c r="B369" s="14" t="n"/>
      <c r="C369" s="14"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37">
      <c r="A370" s="1" t="n"/>
      <c r="B370" s="14" t="n"/>
      <c r="C370" s="14"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37">
      <c r="A371" s="1" t="n"/>
      <c r="B371" s="14" t="n"/>
      <c r="C371" s="14"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37">
      <c r="A372" s="1" t="n"/>
      <c r="B372" s="14" t="n"/>
      <c r="C372" s="14"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37">
      <c r="A373" s="1" t="n"/>
      <c r="B373" s="14" t="n"/>
      <c r="C373" s="14"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37">
      <c r="A374" s="1" t="n"/>
      <c r="B374" s="14" t="n"/>
      <c r="C374" s="14"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37">
      <c r="A375" s="1" t="n"/>
      <c r="B375" s="14" t="n"/>
      <c r="C375" s="14"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37">
      <c r="A376" s="1" t="n"/>
      <c r="B376" s="14" t="n"/>
      <c r="C376" s="14"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37">
      <c r="A377" s="1" t="n"/>
      <c r="B377" s="14" t="n"/>
      <c r="C377" s="14"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37">
      <c r="A378" s="1" t="n"/>
      <c r="B378" s="14" t="n"/>
      <c r="C378" s="14"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37">
      <c r="A379" s="1" t="n"/>
      <c r="B379" s="14" t="n"/>
      <c r="C379" s="14"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37">
      <c r="A380" s="1" t="n"/>
      <c r="B380" s="14" t="n"/>
      <c r="C380" s="14"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37">
      <c r="A381" s="1" t="n"/>
      <c r="B381" s="14" t="n"/>
      <c r="C381" s="14"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37">
      <c r="A382" s="1" t="n"/>
      <c r="B382" s="14" t="n"/>
      <c r="C382" s="14"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37">
      <c r="A383" s="1" t="n"/>
      <c r="B383" s="14" t="n"/>
      <c r="C383" s="14"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37">
      <c r="A384" s="1" t="n"/>
      <c r="B384" s="14" t="n"/>
      <c r="C384" s="14"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37">
      <c r="A385" s="1" t="n"/>
      <c r="B385" s="14" t="n"/>
      <c r="C385" s="14"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37">
      <c r="A386" s="1" t="n"/>
      <c r="B386" s="14" t="n"/>
      <c r="C386" s="14"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37">
      <c r="A387" s="1" t="n"/>
      <c r="B387" s="14" t="n"/>
      <c r="C387" s="14"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37">
      <c r="A388" s="1" t="n"/>
      <c r="B388" s="14" t="n"/>
      <c r="C388" s="14"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37">
      <c r="A389" s="1" t="n"/>
      <c r="B389" s="14" t="n"/>
      <c r="C389" s="14"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37">
      <c r="A390" s="1" t="n"/>
      <c r="B390" s="14" t="n"/>
      <c r="C390" s="14"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37">
      <c r="A391" s="1" t="n"/>
      <c r="B391" s="14" t="n"/>
      <c r="C391" s="14"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37">
      <c r="A392" s="1" t="n"/>
      <c r="B392" s="14" t="n"/>
      <c r="C392" s="14"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37">
      <c r="A393" s="1" t="n"/>
      <c r="B393" s="14" t="n"/>
      <c r="C393" s="14"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37">
      <c r="A394" s="1" t="n"/>
      <c r="B394" s="14" t="n"/>
      <c r="C394" s="14"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37">
      <c r="A395" s="1" t="n"/>
      <c r="B395" s="14" t="n"/>
      <c r="C395" s="14"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37">
      <c r="A396" s="1" t="n"/>
      <c r="B396" s="14" t="n"/>
      <c r="C396" s="14"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37">
      <c r="A397" s="1" t="n"/>
      <c r="B397" s="14" t="n"/>
      <c r="C397" s="14"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37">
      <c r="A398" s="1" t="n"/>
      <c r="B398" s="14" t="n"/>
      <c r="C398" s="14"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37">
      <c r="A399" s="1" t="n"/>
      <c r="B399" s="14" t="n"/>
      <c r="C399" s="14"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37">
      <c r="A400" s="1" t="n"/>
      <c r="B400" s="14" t="n"/>
      <c r="C400" s="14"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37">
      <c r="A401" s="1" t="n"/>
      <c r="B401" s="14" t="n"/>
      <c r="C401" s="14"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37">
      <c r="A402" s="1" t="n"/>
      <c r="B402" s="14" t="n"/>
      <c r="C402" s="14"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37">
      <c r="A403" s="1" t="n"/>
      <c r="B403" s="14" t="n"/>
      <c r="C403" s="14"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37">
      <c r="A404" s="1" t="n"/>
      <c r="B404" s="14" t="n"/>
      <c r="C404" s="14"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37">
      <c r="A405" s="1" t="n"/>
      <c r="B405" s="14" t="n"/>
      <c r="C405" s="14"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37">
      <c r="A406" s="1" t="n"/>
      <c r="B406" s="14" t="n"/>
      <c r="C406" s="14"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37">
      <c r="A407" s="1" t="n"/>
      <c r="B407" s="14" t="n"/>
      <c r="C407" s="14"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37">
      <c r="A408" s="1" t="n"/>
      <c r="B408" s="14" t="n"/>
      <c r="C408" s="14"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37">
      <c r="A409" s="1" t="n"/>
      <c r="B409" s="14" t="n"/>
      <c r="C409" s="14"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37">
      <c r="A410" s="1" t="n"/>
      <c r="B410" s="14" t="n"/>
      <c r="C410" s="14"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37">
      <c r="A411" s="1" t="n"/>
      <c r="B411" s="14" t="n"/>
      <c r="C411" s="14"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37">
      <c r="A412" s="1" t="n"/>
      <c r="B412" s="14" t="n"/>
      <c r="C412" s="14"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37">
      <c r="A413" s="1" t="n"/>
      <c r="B413" s="14" t="n"/>
      <c r="C413" s="14"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37">
      <c r="A414" s="1" t="n"/>
      <c r="B414" s="14" t="n"/>
      <c r="C414" s="14"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37">
      <c r="A415" s="1" t="n"/>
      <c r="B415" s="14" t="n"/>
      <c r="C415" s="14"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37">
      <c r="A416" s="1" t="n"/>
      <c r="B416" s="14" t="n"/>
      <c r="C416" s="14"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37">
      <c r="A417" s="1" t="n"/>
      <c r="B417" s="14" t="n"/>
      <c r="C417" s="14"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37">
      <c r="A418" s="1" t="n"/>
      <c r="B418" s="14" t="n"/>
      <c r="C418" s="14"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37">
      <c r="A419" s="1" t="n"/>
      <c r="B419" s="14" t="n"/>
      <c r="C419" s="14"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37">
      <c r="A420" s="1" t="n"/>
      <c r="B420" s="14" t="n"/>
      <c r="C420" s="14"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37">
      <c r="A421" s="1" t="n"/>
      <c r="B421" s="14" t="n"/>
      <c r="C421" s="14"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37">
      <c r="A422" s="1" t="n"/>
      <c r="B422" s="14" t="n"/>
      <c r="C422" s="14"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37">
      <c r="A423" s="1" t="n"/>
      <c r="B423" s="14" t="n"/>
      <c r="C423" s="14"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37">
      <c r="A424" s="1" t="n"/>
      <c r="B424" s="14" t="n"/>
      <c r="C424" s="14"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37">
      <c r="A425" s="1" t="n"/>
      <c r="B425" s="14" t="n"/>
      <c r="C425" s="14"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37">
      <c r="A426" s="1" t="n"/>
      <c r="B426" s="14" t="n"/>
      <c r="C426" s="14"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37">
      <c r="A427" s="1" t="n"/>
      <c r="B427" s="14" t="n"/>
      <c r="C427" s="14"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37">
      <c r="A428" s="1" t="n"/>
      <c r="B428" s="14" t="n"/>
      <c r="C428" s="14"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37">
      <c r="A429" s="1" t="n"/>
      <c r="B429" s="14" t="n"/>
      <c r="C429" s="14"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37">
      <c r="A430" s="1" t="n"/>
      <c r="B430" s="14" t="n"/>
      <c r="C430" s="14"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37">
      <c r="A431" s="1" t="n"/>
      <c r="B431" s="14" t="n"/>
      <c r="C431" s="14"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37">
      <c r="A432" s="1" t="n"/>
      <c r="B432" s="14" t="n"/>
      <c r="C432" s="14"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37">
      <c r="A433" s="1" t="n"/>
      <c r="B433" s="14" t="n"/>
      <c r="C433" s="14"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37">
      <c r="A434" s="1" t="n"/>
      <c r="B434" s="14" t="n"/>
      <c r="C434" s="14"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37">
      <c r="A435" s="1" t="n"/>
      <c r="B435" s="14" t="n"/>
      <c r="C435" s="14"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37">
      <c r="A436" s="1" t="n"/>
      <c r="B436" s="14" t="n"/>
      <c r="C436" s="14"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37">
      <c r="A437" s="1" t="n"/>
      <c r="B437" s="14" t="n"/>
      <c r="C437" s="14"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37">
      <c r="A438" s="1" t="n"/>
      <c r="B438" s="14" t="n"/>
      <c r="C438" s="14"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37">
      <c r="A439" s="1" t="n"/>
      <c r="B439" s="14" t="n"/>
      <c r="C439" s="14"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37">
      <c r="A440" s="1" t="n"/>
      <c r="B440" s="14" t="n"/>
      <c r="C440" s="14"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37">
      <c r="A441" s="1" t="n"/>
      <c r="B441" s="14" t="n"/>
      <c r="C441" s="14"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37">
      <c r="A442" s="1" t="n"/>
      <c r="B442" s="14" t="n"/>
      <c r="C442" s="14"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37">
      <c r="A443" s="1" t="n"/>
      <c r="B443" s="14" t="n"/>
      <c r="C443" s="14"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37">
      <c r="A444" s="1" t="n"/>
      <c r="B444" s="14" t="n"/>
      <c r="C444" s="14"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37">
      <c r="A445" s="1" t="n"/>
      <c r="B445" s="14" t="n"/>
      <c r="C445" s="14"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37">
      <c r="A446" s="1" t="n"/>
      <c r="B446" s="14" t="n"/>
      <c r="C446" s="14"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37">
      <c r="A447" s="1" t="n"/>
      <c r="B447" s="14" t="n"/>
      <c r="C447" s="14"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37">
      <c r="A448" s="1" t="n"/>
      <c r="B448" s="14" t="n"/>
      <c r="C448" s="14"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37">
      <c r="A449" s="1" t="n"/>
      <c r="B449" s="14" t="n"/>
      <c r="C449" s="14"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37">
      <c r="A450" s="1" t="n"/>
      <c r="B450" s="14" t="n"/>
      <c r="C450" s="14"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37">
      <c r="A451" s="1" t="n"/>
      <c r="B451" s="14" t="n"/>
      <c r="C451" s="14"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37">
      <c r="A452" s="1" t="n"/>
      <c r="B452" s="14" t="n"/>
      <c r="C452" s="14"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37">
      <c r="A453" s="1" t="n"/>
      <c r="B453" s="14" t="n"/>
      <c r="C453" s="14"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37">
      <c r="A454" s="1" t="n"/>
      <c r="B454" s="14" t="n"/>
      <c r="C454" s="14"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37">
      <c r="A455" s="1" t="n"/>
      <c r="B455" s="14" t="n"/>
      <c r="C455" s="14"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37">
      <c r="A456" s="1" t="n"/>
      <c r="B456" s="14" t="n"/>
      <c r="C456" s="14"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37">
      <c r="A457" s="1" t="n"/>
      <c r="B457" s="14" t="n"/>
      <c r="C457" s="14"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37">
      <c r="A458" s="1" t="n"/>
      <c r="B458" s="14" t="n"/>
      <c r="C458" s="14"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37">
      <c r="A459" s="1" t="n"/>
      <c r="B459" s="14" t="n"/>
      <c r="C459" s="14"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37">
      <c r="A460" s="1" t="n"/>
      <c r="B460" s="14" t="n"/>
      <c r="C460" s="14"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37">
      <c r="A461" s="1" t="n"/>
      <c r="B461" s="14" t="n"/>
      <c r="C461" s="14"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37">
      <c r="A462" s="1" t="n"/>
      <c r="B462" s="14" t="n"/>
      <c r="C462" s="14"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37">
      <c r="A463" s="1" t="n"/>
      <c r="B463" s="14" t="n"/>
      <c r="C463" s="14"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37">
      <c r="A464" s="1" t="n"/>
      <c r="B464" s="14" t="n"/>
      <c r="C464" s="14"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37">
      <c r="A465" s="1" t="n"/>
      <c r="B465" s="14" t="n"/>
      <c r="C465" s="14"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37">
      <c r="A466" s="1" t="n"/>
      <c r="B466" s="14" t="n"/>
      <c r="C466" s="14"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37">
      <c r="A467" s="1" t="n"/>
      <c r="B467" s="14" t="n"/>
      <c r="C467" s="14"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37">
      <c r="A468" s="1" t="n"/>
      <c r="B468" s="14" t="n"/>
      <c r="C468" s="14"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37">
      <c r="A469" s="1" t="n"/>
      <c r="B469" s="14" t="n"/>
      <c r="C469" s="14"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37">
      <c r="A470" s="1" t="n"/>
      <c r="B470" s="14" t="n"/>
      <c r="C470" s="14"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37">
      <c r="A471" s="1" t="n"/>
      <c r="B471" s="14" t="n"/>
      <c r="C471" s="14"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37">
      <c r="A472" s="1" t="n"/>
      <c r="B472" s="14" t="n"/>
      <c r="C472" s="14"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37">
      <c r="A473" s="1" t="n"/>
      <c r="B473" s="14" t="n"/>
      <c r="C473" s="14"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37">
      <c r="A474" s="1" t="n"/>
      <c r="B474" s="14" t="n"/>
      <c r="C474" s="14"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37">
      <c r="A475" s="1" t="n"/>
      <c r="B475" s="14" t="n"/>
      <c r="C475" s="14"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37">
      <c r="A476" s="1" t="n"/>
      <c r="B476" s="14" t="n"/>
      <c r="C476" s="14"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37">
      <c r="A477" s="1" t="n"/>
      <c r="B477" s="14" t="n"/>
      <c r="C477" s="14"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37">
      <c r="A478" s="1" t="n"/>
      <c r="B478" s="14" t="n"/>
      <c r="C478" s="14"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37">
      <c r="A479" s="1" t="n"/>
      <c r="B479" s="14" t="n"/>
      <c r="C479" s="14"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37">
      <c r="A480" s="1" t="n"/>
      <c r="B480" s="14" t="n"/>
      <c r="C480" s="14"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37">
      <c r="A481" s="1" t="n"/>
      <c r="B481" s="14" t="n"/>
      <c r="C481" s="14"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37">
      <c r="A482" s="1" t="n"/>
      <c r="B482" s="14" t="n"/>
      <c r="C482" s="14"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37">
      <c r="A483" s="1" t="n"/>
      <c r="B483" s="14" t="n"/>
      <c r="C483" s="14"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37">
      <c r="A484" s="1" t="n"/>
      <c r="B484" s="14" t="n"/>
      <c r="C484" s="14"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37">
      <c r="A485" s="1" t="n"/>
      <c r="B485" s="14" t="n"/>
      <c r="C485" s="14"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37">
      <c r="A486" s="1" t="n"/>
      <c r="B486" s="14" t="n"/>
      <c r="C486" s="14"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37">
      <c r="A487" s="1" t="n"/>
      <c r="B487" s="14" t="n"/>
      <c r="C487" s="14"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37">
      <c r="A488" s="1" t="n"/>
      <c r="B488" s="14" t="n"/>
      <c r="C488" s="14"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37">
      <c r="A489" s="1" t="n"/>
      <c r="B489" s="14" t="n"/>
      <c r="C489" s="14"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37">
      <c r="A490" s="1" t="n"/>
      <c r="B490" s="14" t="n"/>
      <c r="C490" s="14"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37">
      <c r="A491" s="1" t="n"/>
      <c r="B491" s="14" t="n"/>
      <c r="C491" s="14"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37">
      <c r="A492" s="1" t="n"/>
      <c r="B492" s="14" t="n"/>
      <c r="C492" s="14"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37">
      <c r="A493" s="1" t="n"/>
      <c r="B493" s="14" t="n"/>
      <c r="C493" s="14"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37">
      <c r="A494" s="1" t="n"/>
      <c r="B494" s="14" t="n"/>
      <c r="C494" s="14"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37">
      <c r="A495" s="1" t="n"/>
      <c r="B495" s="14" t="n"/>
      <c r="C495" s="14"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37">
      <c r="A496" s="1" t="n"/>
      <c r="B496" s="14" t="n"/>
      <c r="C496" s="14"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37">
      <c r="A497" s="1" t="n"/>
      <c r="B497" s="14" t="n"/>
      <c r="C497" s="14"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37">
      <c r="A498" s="1" t="n"/>
      <c r="B498" s="14" t="n"/>
      <c r="C498" s="14"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37">
      <c r="A499" s="1" t="n"/>
      <c r="B499" s="14" t="n"/>
      <c r="C499" s="14"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37">
      <c r="A500" s="1" t="n"/>
      <c r="B500" s="14" t="n"/>
      <c r="C500" s="14"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37">
      <c r="A501" s="1" t="n"/>
      <c r="B501" s="14" t="n"/>
      <c r="C501" s="14"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37">
      <c r="A502" s="1" t="n"/>
      <c r="B502" s="14" t="n"/>
      <c r="C502" s="14"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37">
      <c r="A503" s="1" t="n"/>
      <c r="B503" s="14" t="n"/>
      <c r="C503" s="14"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37">
      <c r="A504" s="1" t="n"/>
      <c r="B504" s="14" t="n"/>
      <c r="C504" s="14"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37">
      <c r="A505" s="1" t="n"/>
      <c r="B505" s="14" t="n"/>
      <c r="C505" s="14"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37">
      <c r="A506" s="1" t="n"/>
      <c r="B506" s="14" t="n"/>
      <c r="C506" s="14"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37">
      <c r="A507" s="1" t="n"/>
      <c r="B507" s="14" t="n"/>
      <c r="C507" s="14"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37">
      <c r="A508" s="1" t="n"/>
      <c r="B508" s="14" t="n"/>
      <c r="C508" s="14"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37">
      <c r="A509" s="1" t="n"/>
      <c r="B509" s="14" t="n"/>
      <c r="C509" s="14"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37">
      <c r="A510" s="1" t="n"/>
      <c r="B510" s="14" t="n"/>
      <c r="C510" s="14"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37">
      <c r="A511" s="1" t="n"/>
      <c r="B511" s="14" t="n"/>
      <c r="C511" s="14"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37">
      <c r="A512" s="1" t="n"/>
      <c r="B512" s="14" t="n"/>
      <c r="C512" s="14"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37">
      <c r="A513" s="1" t="n"/>
      <c r="B513" s="14" t="n"/>
      <c r="C513" s="14"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37">
      <c r="A514" s="1" t="n"/>
      <c r="B514" s="14" t="n"/>
      <c r="C514" s="14"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37">
      <c r="A515" s="1" t="n"/>
      <c r="B515" s="14" t="n"/>
      <c r="C515" s="14"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37">
      <c r="A516" s="1" t="n"/>
      <c r="B516" s="14" t="n"/>
      <c r="C516" s="14"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37">
      <c r="A517" s="1" t="n"/>
      <c r="B517" s="14" t="n"/>
      <c r="C517" s="14"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37">
      <c r="A518" s="1" t="n"/>
      <c r="B518" s="14" t="n"/>
      <c r="C518" s="14"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37">
      <c r="A519" s="1" t="n"/>
      <c r="B519" s="14" t="n"/>
      <c r="C519" s="14"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37">
      <c r="A520" s="1" t="n"/>
      <c r="B520" s="14" t="n"/>
      <c r="C520" s="14"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37">
      <c r="A521" s="1" t="n"/>
      <c r="B521" s="14" t="n"/>
      <c r="C521" s="14"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37">
      <c r="A522" s="1" t="n"/>
      <c r="B522" s="14" t="n"/>
      <c r="C522" s="14"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37">
      <c r="A523" s="1" t="n"/>
      <c r="B523" s="14" t="n"/>
      <c r="C523" s="14"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37">
      <c r="A524" s="1" t="n"/>
      <c r="B524" s="14" t="n"/>
      <c r="C524" s="14"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37">
      <c r="A525" s="1" t="n"/>
      <c r="B525" s="14" t="n"/>
      <c r="C525" s="14"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37">
      <c r="A526" s="1" t="n"/>
      <c r="B526" s="14" t="n"/>
      <c r="C526" s="14"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37">
      <c r="A527" s="1" t="n"/>
      <c r="B527" s="14" t="n"/>
      <c r="C527" s="14"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37">
      <c r="A528" s="1" t="n"/>
      <c r="B528" s="14" t="n"/>
      <c r="C528" s="14"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37">
      <c r="A529" s="1" t="n"/>
      <c r="B529" s="14" t="n"/>
      <c r="C529" s="14"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37">
      <c r="A530" s="1" t="n"/>
      <c r="B530" s="14" t="n"/>
      <c r="C530" s="14"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37">
      <c r="A531" s="1" t="n"/>
      <c r="B531" s="14" t="n"/>
      <c r="C531" s="14"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37">
      <c r="A532" s="1" t="n"/>
      <c r="B532" s="14" t="n"/>
      <c r="C532" s="14"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37">
      <c r="A533" s="1" t="n"/>
      <c r="B533" s="14" t="n"/>
      <c r="C533" s="14"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37">
      <c r="A534" s="1" t="n"/>
      <c r="B534" s="14" t="n"/>
      <c r="C534" s="14"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37">
      <c r="A535" s="1" t="n"/>
      <c r="B535" s="14" t="n"/>
      <c r="C535" s="14"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37">
      <c r="A536" s="1" t="n"/>
      <c r="B536" s="14" t="n"/>
      <c r="C536" s="14"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37">
      <c r="A537" s="1" t="n"/>
      <c r="B537" s="14" t="n"/>
      <c r="C537" s="14"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37">
      <c r="A538" s="1" t="n"/>
      <c r="B538" s="14" t="n"/>
      <c r="C538" s="14"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37">
      <c r="A539" s="1" t="n"/>
      <c r="B539" s="14" t="n"/>
      <c r="C539" s="14"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37">
      <c r="A540" s="1" t="n"/>
      <c r="B540" s="14" t="n"/>
      <c r="C540" s="14"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37">
      <c r="A541" s="1" t="n"/>
      <c r="B541" s="14" t="n"/>
      <c r="C541" s="14"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37">
      <c r="A542" s="1" t="n"/>
      <c r="B542" s="14" t="n"/>
      <c r="C542" s="14"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37">
      <c r="A543" s="1" t="n"/>
      <c r="B543" s="14" t="n"/>
      <c r="C543" s="14"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37">
      <c r="A544" s="1" t="n"/>
      <c r="B544" s="14" t="n"/>
      <c r="C544" s="14"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37">
      <c r="A545" s="1" t="n"/>
      <c r="B545" s="14" t="n"/>
      <c r="C545" s="14"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37">
      <c r="A546" s="1" t="n"/>
      <c r="B546" s="14" t="n"/>
      <c r="C546" s="14"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37">
      <c r="A547" s="1" t="n"/>
      <c r="B547" s="14" t="n"/>
      <c r="C547" s="14"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37">
      <c r="A548" s="1" t="n"/>
      <c r="B548" s="14" t="n"/>
      <c r="C548" s="14"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37">
      <c r="A549" s="1" t="n"/>
      <c r="B549" s="14" t="n"/>
      <c r="C549" s="14"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37">
      <c r="A550" s="1" t="n"/>
      <c r="B550" s="14" t="n"/>
      <c r="C550" s="14"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37">
      <c r="A551" s="1" t="n"/>
      <c r="B551" s="14" t="n"/>
      <c r="C551" s="14"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37">
      <c r="A552" s="1" t="n"/>
      <c r="B552" s="14" t="n"/>
      <c r="C552" s="14"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37">
      <c r="A553" s="1" t="n"/>
      <c r="B553" s="14" t="n"/>
      <c r="C553" s="14"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37">
      <c r="A554" s="1" t="n"/>
      <c r="B554" s="14" t="n"/>
      <c r="C554" s="14"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37">
      <c r="A555" s="1" t="n"/>
      <c r="B555" s="14" t="n"/>
      <c r="C555" s="14"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37">
      <c r="A556" s="1" t="n"/>
      <c r="B556" s="14" t="n"/>
      <c r="C556" s="14"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37">
      <c r="A557" s="1" t="n"/>
      <c r="B557" s="14" t="n"/>
      <c r="C557" s="14"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37">
      <c r="A558" s="1" t="n"/>
      <c r="B558" s="14" t="n"/>
      <c r="C558" s="14"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37">
      <c r="A559" s="1" t="n"/>
      <c r="B559" s="14" t="n"/>
      <c r="C559" s="14"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37">
      <c r="A560" s="1" t="n"/>
      <c r="B560" s="14" t="n"/>
      <c r="C560" s="14"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37">
      <c r="A561" s="1" t="n"/>
      <c r="B561" s="14" t="n"/>
      <c r="C561" s="14"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37">
      <c r="A562" s="1" t="n"/>
      <c r="B562" s="14" t="n"/>
      <c r="C562" s="14"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37">
      <c r="A563" s="1" t="n"/>
      <c r="B563" s="14" t="n"/>
      <c r="C563" s="14"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37">
      <c r="A564" s="1" t="n"/>
      <c r="B564" s="14" t="n"/>
      <c r="C564" s="14"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37">
      <c r="A565" s="1" t="n"/>
      <c r="B565" s="14" t="n"/>
      <c r="C565" s="14"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37">
      <c r="A566" s="1" t="n"/>
      <c r="B566" s="14" t="n"/>
      <c r="C566" s="14"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37">
      <c r="A567" s="1" t="n"/>
      <c r="B567" s="14" t="n"/>
      <c r="C567" s="14"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37">
      <c r="A568" s="1" t="n"/>
      <c r="B568" s="14" t="n"/>
      <c r="C568" s="14"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37">
      <c r="A569" s="1" t="n"/>
      <c r="B569" s="14" t="n"/>
      <c r="C569" s="14"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37">
      <c r="A570" s="1" t="n"/>
      <c r="B570" s="14" t="n"/>
      <c r="C570" s="14"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37">
      <c r="A571" s="1" t="n"/>
      <c r="B571" s="14" t="n"/>
      <c r="C571" s="14"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37">
      <c r="A572" s="1" t="n"/>
      <c r="B572" s="14" t="n"/>
      <c r="C572" s="14"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37">
      <c r="A573" s="1" t="n"/>
      <c r="B573" s="14" t="n"/>
      <c r="C573" s="14"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37">
      <c r="A574" s="1" t="n"/>
      <c r="B574" s="14" t="n"/>
      <c r="C574" s="14"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37">
      <c r="A575" s="1" t="n"/>
      <c r="B575" s="14" t="n"/>
      <c r="C575" s="14"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37">
      <c r="A576" s="1" t="n"/>
      <c r="B576" s="14" t="n"/>
      <c r="C576" s="14"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37">
      <c r="A577" s="1" t="n"/>
      <c r="B577" s="14" t="n"/>
      <c r="C577" s="14"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37">
      <c r="A578" s="1" t="n"/>
      <c r="B578" s="14" t="n"/>
      <c r="C578" s="14"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37">
      <c r="A579" s="1" t="n"/>
      <c r="B579" s="14" t="n"/>
      <c r="C579" s="14"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37">
      <c r="A580" s="1" t="n"/>
      <c r="B580" s="14" t="n"/>
      <c r="C580" s="14"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37">
      <c r="A581" s="1" t="n"/>
      <c r="B581" s="14" t="n"/>
      <c r="C581" s="14"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37">
      <c r="A582" s="1" t="n"/>
      <c r="B582" s="14" t="n"/>
      <c r="C582" s="14"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37">
      <c r="A583" s="1" t="n"/>
      <c r="B583" s="14" t="n"/>
      <c r="C583" s="14"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37">
      <c r="A584" s="1" t="n"/>
      <c r="B584" s="14" t="n"/>
      <c r="C584" s="14"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37">
      <c r="A585" s="1" t="n"/>
      <c r="B585" s="14" t="n"/>
      <c r="C585" s="14"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37">
      <c r="A586" s="1" t="n"/>
      <c r="B586" s="14" t="n"/>
      <c r="C586" s="14"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37">
      <c r="A587" s="1" t="n"/>
      <c r="B587" s="14" t="n"/>
      <c r="C587" s="14"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37">
      <c r="A588" s="1" t="n"/>
      <c r="B588" s="14" t="n"/>
      <c r="C588" s="14"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37">
      <c r="A589" s="1" t="n"/>
      <c r="B589" s="14" t="n"/>
      <c r="C589" s="14"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37">
      <c r="A590" s="1" t="n"/>
      <c r="B590" s="14" t="n"/>
      <c r="C590" s="14"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37">
      <c r="A591" s="1" t="n"/>
      <c r="B591" s="14" t="n"/>
      <c r="C591" s="14"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37">
      <c r="A592" s="1" t="n"/>
      <c r="B592" s="14" t="n"/>
      <c r="C592" s="14"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37">
      <c r="A593" s="1" t="n"/>
      <c r="B593" s="14" t="n"/>
      <c r="C593" s="14"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37">
      <c r="A594" s="1" t="n"/>
      <c r="B594" s="14" t="n"/>
      <c r="C594" s="14"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37">
      <c r="A595" s="1" t="n"/>
      <c r="B595" s="14" t="n"/>
      <c r="C595" s="14"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37">
      <c r="A596" s="1" t="n"/>
      <c r="B596" s="14" t="n"/>
      <c r="C596" s="14"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37">
      <c r="A597" s="1" t="n"/>
      <c r="B597" s="14" t="n"/>
      <c r="C597" s="14"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37">
      <c r="A598" s="1" t="n"/>
      <c r="B598" s="14" t="n"/>
      <c r="C598" s="14"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37">
      <c r="A599" s="1" t="n"/>
      <c r="B599" s="14" t="n"/>
      <c r="C599" s="14"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37">
      <c r="A600" s="1" t="n"/>
      <c r="B600" s="14" t="n"/>
      <c r="C600" s="14"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37">
      <c r="A601" s="1" t="n"/>
      <c r="B601" s="14" t="n"/>
      <c r="C601" s="14"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37">
      <c r="A602" s="1" t="n"/>
      <c r="B602" s="14" t="n"/>
      <c r="C602" s="14"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37">
      <c r="A603" s="1" t="n"/>
      <c r="B603" s="14" t="n"/>
      <c r="C603" s="14"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37">
      <c r="A604" s="1" t="n"/>
      <c r="B604" s="14" t="n"/>
      <c r="C604" s="14"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37">
      <c r="A605" s="1" t="n"/>
      <c r="B605" s="14" t="n"/>
      <c r="C605" s="14"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37">
      <c r="A606" s="1" t="n"/>
      <c r="B606" s="14" t="n"/>
      <c r="C606" s="14"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37">
      <c r="A607" s="1" t="n"/>
      <c r="B607" s="14" t="n"/>
      <c r="C607" s="14"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37">
      <c r="A608" s="1" t="n"/>
      <c r="B608" s="14" t="n"/>
      <c r="C608" s="14"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37">
      <c r="A609" s="1" t="n"/>
      <c r="B609" s="14" t="n"/>
      <c r="C609" s="14"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37">
      <c r="A610" s="1" t="n"/>
      <c r="B610" s="14" t="n"/>
      <c r="C610" s="14"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37">
      <c r="A611" s="1" t="n"/>
      <c r="B611" s="14" t="n"/>
      <c r="C611" s="14"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37">
      <c r="A612" s="1" t="n"/>
      <c r="B612" s="14" t="n"/>
      <c r="C612" s="14"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37">
      <c r="A613" s="1" t="n"/>
      <c r="B613" s="14" t="n"/>
      <c r="C613" s="14"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37">
      <c r="A614" s="1" t="n"/>
      <c r="B614" s="14" t="n"/>
      <c r="C614" s="14"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37">
      <c r="A615" s="1" t="n"/>
      <c r="B615" s="14" t="n"/>
      <c r="C615" s="14"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37">
      <c r="A616" s="1" t="n"/>
      <c r="B616" s="14" t="n"/>
      <c r="C616" s="14"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37">
      <c r="A617" s="1" t="n"/>
      <c r="B617" s="14" t="n"/>
      <c r="C617" s="14"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37">
      <c r="A618" s="1" t="n"/>
      <c r="B618" s="14" t="n"/>
      <c r="C618" s="14"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37">
      <c r="A619" s="1" t="n"/>
      <c r="B619" s="14" t="n"/>
      <c r="C619" s="14"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37">
      <c r="A620" s="1" t="n"/>
      <c r="B620" s="14" t="n"/>
      <c r="C620" s="14"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37">
      <c r="A621" s="1" t="n"/>
      <c r="B621" s="14" t="n"/>
      <c r="C621" s="14"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37">
      <c r="A622" s="1" t="n"/>
      <c r="B622" s="14" t="n"/>
      <c r="C622" s="14"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37">
      <c r="A623" s="1" t="n"/>
      <c r="B623" s="14" t="n"/>
      <c r="C623" s="14"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37">
      <c r="A624" s="1" t="n"/>
      <c r="B624" s="14" t="n"/>
      <c r="C624" s="14"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37">
      <c r="A625" s="1" t="n"/>
      <c r="B625" s="14" t="n"/>
      <c r="C625" s="14"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37">
      <c r="A626" s="1" t="n"/>
      <c r="B626" s="14" t="n"/>
      <c r="C626" s="14"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37">
      <c r="A627" s="1" t="n"/>
      <c r="B627" s="14" t="n"/>
      <c r="C627" s="14"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37">
      <c r="A628" s="1" t="n"/>
      <c r="B628" s="14" t="n"/>
      <c r="C628" s="14"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37">
      <c r="A629" s="1" t="n"/>
      <c r="B629" s="14" t="n"/>
      <c r="C629" s="14"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37">
      <c r="A630" s="1" t="n"/>
      <c r="B630" s="14" t="n"/>
      <c r="C630" s="14"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37">
      <c r="A631" s="1" t="n"/>
      <c r="B631" s="14" t="n"/>
      <c r="C631" s="14"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37">
      <c r="A632" s="1" t="n"/>
      <c r="B632" s="14" t="n"/>
      <c r="C632" s="14"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37">
      <c r="A633" s="1" t="n"/>
      <c r="B633" s="14" t="n"/>
      <c r="C633" s="14"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37">
      <c r="A634" s="1" t="n"/>
      <c r="B634" s="14" t="n"/>
      <c r="C634" s="14"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37">
      <c r="A635" s="1" t="n"/>
      <c r="B635" s="14" t="n"/>
      <c r="C635" s="14"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37">
      <c r="A636" s="1" t="n"/>
      <c r="B636" s="14" t="n"/>
      <c r="C636" s="14"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37">
      <c r="A637" s="1" t="n"/>
      <c r="B637" s="14" t="n"/>
      <c r="C637" s="14"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37">
      <c r="A638" s="1" t="n"/>
      <c r="B638" s="14" t="n"/>
      <c r="C638" s="14"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37">
      <c r="A639" s="1" t="n"/>
      <c r="B639" s="14" t="n"/>
      <c r="C639" s="14"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37">
      <c r="A640" s="1" t="n"/>
      <c r="B640" s="14" t="n"/>
      <c r="C640" s="14"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37">
      <c r="A641" s="1" t="n"/>
      <c r="B641" s="14" t="n"/>
      <c r="C641" s="14"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37">
      <c r="A642" s="1" t="n"/>
      <c r="B642" s="14" t="n"/>
      <c r="C642" s="14"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37">
      <c r="A643" s="1" t="n"/>
      <c r="B643" s="14" t="n"/>
      <c r="C643" s="14"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37">
      <c r="A644" s="1" t="n"/>
      <c r="B644" s="14" t="n"/>
      <c r="C644" s="14"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37">
      <c r="A645" s="1" t="n"/>
      <c r="B645" s="14" t="n"/>
      <c r="C645" s="14"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37">
      <c r="A646" s="1" t="n"/>
      <c r="B646" s="14" t="n"/>
      <c r="C646" s="14"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37">
      <c r="A647" s="1" t="n"/>
      <c r="B647" s="14" t="n"/>
      <c r="C647" s="14"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37">
      <c r="A648" s="1" t="n"/>
      <c r="B648" s="14" t="n"/>
      <c r="C648" s="14"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37">
      <c r="A649" s="1" t="n"/>
      <c r="B649" s="14" t="n"/>
      <c r="C649" s="14"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37">
      <c r="A650" s="1" t="n"/>
      <c r="B650" s="14" t="n"/>
      <c r="C650" s="14"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37">
      <c r="A651" s="1" t="n"/>
      <c r="B651" s="14" t="n"/>
      <c r="C651" s="14"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37">
      <c r="A652" s="1" t="n"/>
      <c r="B652" s="14" t="n"/>
      <c r="C652" s="14"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37">
      <c r="A653" s="1" t="n"/>
      <c r="B653" s="14" t="n"/>
      <c r="C653" s="14"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37">
      <c r="A654" s="1" t="n"/>
      <c r="B654" s="14" t="n"/>
      <c r="C654" s="14"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37">
      <c r="A655" s="1" t="n"/>
      <c r="B655" s="14" t="n"/>
      <c r="C655" s="14"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37">
      <c r="A656" s="1" t="n"/>
      <c r="B656" s="14" t="n"/>
      <c r="C656" s="14"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37">
      <c r="A657" s="1" t="n"/>
      <c r="B657" s="14" t="n"/>
      <c r="C657" s="14"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37">
      <c r="A658" s="1" t="n"/>
      <c r="B658" s="14" t="n"/>
      <c r="C658" s="14"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37">
      <c r="A659" s="1" t="n"/>
      <c r="B659" s="14" t="n"/>
      <c r="C659" s="14"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37">
      <c r="A660" s="1" t="n"/>
      <c r="B660" s="14" t="n"/>
      <c r="C660" s="14"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37">
      <c r="A661" s="1" t="n"/>
      <c r="B661" s="14" t="n"/>
      <c r="C661" s="14"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37">
      <c r="A662" s="1" t="n"/>
      <c r="B662" s="14" t="n"/>
      <c r="C662" s="14"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37">
      <c r="A663" s="1" t="n"/>
      <c r="B663" s="14" t="n"/>
      <c r="C663" s="14"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37">
      <c r="A664" s="1" t="n"/>
      <c r="B664" s="14" t="n"/>
      <c r="C664" s="14"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37">
      <c r="A665" s="1" t="n"/>
      <c r="B665" s="14" t="n"/>
      <c r="C665" s="14"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37">
      <c r="A666" s="1" t="n"/>
      <c r="B666" s="14" t="n"/>
      <c r="C666" s="14"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37">
      <c r="A667" s="1" t="n"/>
      <c r="B667" s="14" t="n"/>
      <c r="C667" s="14"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37">
      <c r="A668" s="1" t="n"/>
      <c r="B668" s="14" t="n"/>
      <c r="C668" s="14"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37">
      <c r="A669" s="1" t="n"/>
      <c r="B669" s="14" t="n"/>
      <c r="C669" s="14"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37">
      <c r="A670" s="1" t="n"/>
      <c r="B670" s="14" t="n"/>
      <c r="C670" s="14"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37">
      <c r="A671" s="1" t="n"/>
      <c r="B671" s="14" t="n"/>
      <c r="C671" s="14"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37">
      <c r="A672" s="1" t="n"/>
      <c r="B672" s="14" t="n"/>
      <c r="C672" s="14"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37">
      <c r="A673" s="1" t="n"/>
      <c r="B673" s="14" t="n"/>
      <c r="C673" s="14"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37">
      <c r="A674" s="1" t="n"/>
      <c r="B674" s="14" t="n"/>
      <c r="C674" s="14"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37">
      <c r="A675" s="1" t="n"/>
      <c r="B675" s="14" t="n"/>
      <c r="C675" s="14"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37">
      <c r="A676" s="1" t="n"/>
      <c r="B676" s="14" t="n"/>
      <c r="C676" s="14"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37">
      <c r="A677" s="1" t="n"/>
      <c r="B677" s="14" t="n"/>
      <c r="C677" s="14"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37">
      <c r="A678" s="1" t="n"/>
      <c r="B678" s="14" t="n"/>
      <c r="C678" s="14"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37">
      <c r="A679" s="1" t="n"/>
      <c r="B679" s="14" t="n"/>
      <c r="C679" s="14"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37">
      <c r="A680" s="1" t="n"/>
      <c r="B680" s="14" t="n"/>
      <c r="C680" s="14"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37">
      <c r="A681" s="1" t="n"/>
      <c r="B681" s="14" t="n"/>
      <c r="C681" s="14"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37">
      <c r="A682" s="1" t="n"/>
      <c r="B682" s="14" t="n"/>
      <c r="C682" s="14"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37">
      <c r="A683" s="1" t="n"/>
      <c r="B683" s="14" t="n"/>
      <c r="C683" s="14"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37">
      <c r="A684" s="1" t="n"/>
      <c r="B684" s="14" t="n"/>
      <c r="C684" s="14"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37">
      <c r="A685" s="1" t="n"/>
      <c r="B685" s="14" t="n"/>
      <c r="C685" s="14"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37">
      <c r="A686" s="1" t="n"/>
      <c r="B686" s="14" t="n"/>
      <c r="C686" s="14"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37">
      <c r="A687" s="1" t="n"/>
      <c r="B687" s="14" t="n"/>
      <c r="C687" s="14"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37">
      <c r="A688" s="1" t="n"/>
      <c r="B688" s="14" t="n"/>
      <c r="C688" s="14"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37">
      <c r="A689" s="1" t="n"/>
      <c r="B689" s="14" t="n"/>
      <c r="C689" s="14"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37">
      <c r="A690" s="1" t="n"/>
      <c r="B690" s="14" t="n"/>
      <c r="C690" s="14"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37">
      <c r="A691" s="1" t="n"/>
      <c r="B691" s="14" t="n"/>
      <c r="C691" s="14"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37">
      <c r="A692" s="1" t="n"/>
      <c r="B692" s="14" t="n"/>
      <c r="C692" s="14"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37">
      <c r="A693" s="1" t="n"/>
      <c r="B693" s="14" t="n"/>
      <c r="C693" s="14"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37">
      <c r="A694" s="1" t="n"/>
      <c r="B694" s="14" t="n"/>
      <c r="C694" s="14"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37">
      <c r="A695" s="1" t="n"/>
      <c r="B695" s="14" t="n"/>
      <c r="C695" s="14"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37">
      <c r="A696" s="1" t="n"/>
      <c r="B696" s="14" t="n"/>
      <c r="C696" s="14"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37">
      <c r="A697" s="1" t="n"/>
      <c r="B697" s="14" t="n"/>
      <c r="C697" s="14"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37">
      <c r="A698" s="1" t="n"/>
      <c r="B698" s="14" t="n"/>
      <c r="C698" s="14"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37">
      <c r="A699" s="1" t="n"/>
      <c r="B699" s="14" t="n"/>
      <c r="C699" s="14"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37">
      <c r="A700" s="1" t="n"/>
      <c r="B700" s="14" t="n"/>
      <c r="C700" s="14"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37">
      <c r="A701" s="1" t="n"/>
      <c r="B701" s="14" t="n"/>
      <c r="C701" s="14"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37">
      <c r="A702" s="1" t="n"/>
      <c r="B702" s="14" t="n"/>
      <c r="C702" s="14"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37">
      <c r="A703" s="1" t="n"/>
      <c r="B703" s="14" t="n"/>
      <c r="C703" s="14"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37">
      <c r="A704" s="1" t="n"/>
      <c r="B704" s="14" t="n"/>
      <c r="C704" s="14"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37">
      <c r="A705" s="1" t="n"/>
      <c r="B705" s="14" t="n"/>
      <c r="C705" s="14"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37">
      <c r="A706" s="1" t="n"/>
      <c r="B706" s="14" t="n"/>
      <c r="C706" s="14"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37">
      <c r="A707" s="1" t="n"/>
      <c r="B707" s="14" t="n"/>
      <c r="C707" s="14"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37">
      <c r="A708" s="1" t="n"/>
      <c r="B708" s="14" t="n"/>
      <c r="C708" s="14"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37">
      <c r="A709" s="1" t="n"/>
      <c r="B709" s="14" t="n"/>
      <c r="C709" s="14"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37">
      <c r="A710" s="1" t="n"/>
      <c r="B710" s="14" t="n"/>
      <c r="C710" s="14"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37">
      <c r="A711" s="1" t="n"/>
      <c r="B711" s="14" t="n"/>
      <c r="C711" s="14"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37">
      <c r="A712" s="1" t="n"/>
      <c r="B712" s="14" t="n"/>
      <c r="C712" s="14"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37">
      <c r="A713" s="1" t="n"/>
      <c r="B713" s="14" t="n"/>
      <c r="C713" s="14"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37">
      <c r="A714" s="1" t="n"/>
      <c r="B714" s="14" t="n"/>
      <c r="C714" s="14"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37">
      <c r="A715" s="1" t="n"/>
      <c r="B715" s="14" t="n"/>
      <c r="C715" s="14"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37">
      <c r="A716" s="1" t="n"/>
      <c r="B716" s="14" t="n"/>
      <c r="C716" s="14"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37">
      <c r="A717" s="1" t="n"/>
      <c r="B717" s="14" t="n"/>
      <c r="C717" s="14"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37">
      <c r="A718" s="1" t="n"/>
      <c r="B718" s="14" t="n"/>
      <c r="C718" s="14"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37">
      <c r="A719" s="1" t="n"/>
      <c r="B719" s="14" t="n"/>
      <c r="C719" s="14"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37">
      <c r="A720" s="1" t="n"/>
      <c r="B720" s="14" t="n"/>
      <c r="C720" s="14"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37">
      <c r="A721" s="1" t="n"/>
      <c r="B721" s="14" t="n"/>
      <c r="C721" s="14"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37">
      <c r="A722" s="1" t="n"/>
      <c r="B722" s="14" t="n"/>
      <c r="C722" s="14"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37">
      <c r="A723" s="1" t="n"/>
      <c r="B723" s="14" t="n"/>
      <c r="C723" s="14"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37">
      <c r="A724" s="1" t="n"/>
      <c r="B724" s="14" t="n"/>
      <c r="C724" s="14"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37">
      <c r="A725" s="1" t="n"/>
      <c r="B725" s="14" t="n"/>
      <c r="C725" s="14"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37">
      <c r="A726" s="1" t="n"/>
      <c r="B726" s="14" t="n"/>
      <c r="C726" s="14"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37">
      <c r="A727" s="1" t="n"/>
      <c r="B727" s="14" t="n"/>
      <c r="C727" s="14"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37">
      <c r="A728" s="1" t="n"/>
      <c r="B728" s="14" t="n"/>
      <c r="C728" s="14"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37">
      <c r="A729" s="1" t="n"/>
      <c r="B729" s="14" t="n"/>
      <c r="C729" s="14"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37">
      <c r="A730" s="1" t="n"/>
      <c r="B730" s="14" t="n"/>
      <c r="C730" s="14"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37">
      <c r="A731" s="1" t="n"/>
      <c r="B731" s="14" t="n"/>
      <c r="C731" s="14"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37">
      <c r="A732" s="1" t="n"/>
      <c r="B732" s="14" t="n"/>
      <c r="C732" s="14"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37">
      <c r="A733" s="1" t="n"/>
      <c r="B733" s="14" t="n"/>
      <c r="C733" s="14"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37">
      <c r="A734" s="1" t="n"/>
      <c r="B734" s="14" t="n"/>
      <c r="C734" s="14"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37">
      <c r="A735" s="1" t="n"/>
      <c r="B735" s="14" t="n"/>
      <c r="C735" s="14"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37">
      <c r="A736" s="1" t="n"/>
      <c r="B736" s="14" t="n"/>
      <c r="C736" s="14"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37">
      <c r="A737" s="1" t="n"/>
      <c r="B737" s="14" t="n"/>
      <c r="C737" s="14"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37">
      <c r="A738" s="1" t="n"/>
      <c r="B738" s="14" t="n"/>
      <c r="C738" s="14"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37">
      <c r="A739" s="1" t="n"/>
      <c r="B739" s="14" t="n"/>
      <c r="C739" s="14"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37">
      <c r="A740" s="1" t="n"/>
      <c r="B740" s="14" t="n"/>
      <c r="C740" s="14"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37">
      <c r="A741" s="1" t="n"/>
      <c r="B741" s="14" t="n"/>
      <c r="C741" s="14"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37">
      <c r="A742" s="1" t="n"/>
      <c r="B742" s="14" t="n"/>
      <c r="C742" s="14"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37">
      <c r="A743" s="1" t="n"/>
      <c r="B743" s="14" t="n"/>
      <c r="C743" s="14"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37">
      <c r="A744" s="1" t="n"/>
      <c r="B744" s="14" t="n"/>
      <c r="C744" s="14"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37">
      <c r="A745" s="1" t="n"/>
      <c r="B745" s="14" t="n"/>
      <c r="C745" s="14"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37">
      <c r="A746" s="1" t="n"/>
      <c r="B746" s="14" t="n"/>
      <c r="C746" s="14"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37">
      <c r="A747" s="1" t="n"/>
      <c r="B747" s="14" t="n"/>
      <c r="C747" s="14"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37">
      <c r="A748" s="1" t="n"/>
      <c r="B748" s="14" t="n"/>
      <c r="C748" s="14"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37">
      <c r="A749" s="1" t="n"/>
      <c r="B749" s="14" t="n"/>
      <c r="C749" s="14"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37">
      <c r="A750" s="1" t="n"/>
      <c r="B750" s="14" t="n"/>
      <c r="C750" s="14"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37">
      <c r="A751" s="1" t="n"/>
      <c r="B751" s="14" t="n"/>
      <c r="C751" s="14"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37">
      <c r="A752" s="1" t="n"/>
      <c r="B752" s="14" t="n"/>
      <c r="C752" s="14"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37">
      <c r="A753" s="1" t="n"/>
      <c r="B753" s="14" t="n"/>
      <c r="C753" s="14"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37">
      <c r="A754" s="1" t="n"/>
      <c r="B754" s="14" t="n"/>
      <c r="C754" s="14"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37">
      <c r="A755" s="1" t="n"/>
      <c r="B755" s="14" t="n"/>
      <c r="C755" s="14"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37">
      <c r="A756" s="1" t="n"/>
      <c r="B756" s="14" t="n"/>
      <c r="C756" s="14"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37">
      <c r="A757" s="1" t="n"/>
      <c r="B757" s="14" t="n"/>
      <c r="C757" s="14"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37">
      <c r="A758" s="1" t="n"/>
      <c r="B758" s="14" t="n"/>
      <c r="C758" s="14"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37">
      <c r="A759" s="1" t="n"/>
      <c r="B759" s="14" t="n"/>
      <c r="C759" s="14"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37">
      <c r="A760" s="1" t="n"/>
      <c r="B760" s="14" t="n"/>
      <c r="C760" s="14"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37">
      <c r="A761" s="1" t="n"/>
      <c r="B761" s="14" t="n"/>
      <c r="C761" s="14"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37">
      <c r="A762" s="1" t="n"/>
      <c r="B762" s="14" t="n"/>
      <c r="C762" s="14"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37">
      <c r="A763" s="1" t="n"/>
      <c r="B763" s="14" t="n"/>
      <c r="C763" s="14"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37">
      <c r="A764" s="1" t="n"/>
      <c r="B764" s="14" t="n"/>
      <c r="C764" s="14"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37">
      <c r="A765" s="1" t="n"/>
      <c r="B765" s="14" t="n"/>
      <c r="C765" s="14"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37">
      <c r="A766" s="1" t="n"/>
      <c r="B766" s="14" t="n"/>
      <c r="C766" s="14"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37">
      <c r="A767" s="1" t="n"/>
      <c r="B767" s="14" t="n"/>
      <c r="C767" s="14"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37">
      <c r="A768" s="1" t="n"/>
      <c r="B768" s="14" t="n"/>
      <c r="C768" s="14"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37">
      <c r="A769" s="1" t="n"/>
      <c r="B769" s="14" t="n"/>
      <c r="C769" s="14"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37">
      <c r="A770" s="1" t="n"/>
      <c r="B770" s="14" t="n"/>
      <c r="C770" s="14"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37">
      <c r="A771" s="1" t="n"/>
      <c r="B771" s="14" t="n"/>
      <c r="C771" s="14"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37">
      <c r="A772" s="1" t="n"/>
      <c r="B772" s="14" t="n"/>
      <c r="C772" s="14"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37">
      <c r="A773" s="1" t="n"/>
      <c r="B773" s="14" t="n"/>
      <c r="C773" s="14"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37">
      <c r="A774" s="1" t="n"/>
      <c r="B774" s="14" t="n"/>
      <c r="C774" s="14"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37">
      <c r="A775" s="1" t="n"/>
      <c r="B775" s="14" t="n"/>
      <c r="C775" s="14"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37">
      <c r="A776" s="1" t="n"/>
      <c r="B776" s="14" t="n"/>
      <c r="C776" s="14"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37">
      <c r="A777" s="1" t="n"/>
      <c r="B777" s="14" t="n"/>
      <c r="C777" s="14"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37">
      <c r="A778" s="1" t="n"/>
      <c r="B778" s="14" t="n"/>
      <c r="C778" s="14"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37">
      <c r="A779" s="1" t="n"/>
      <c r="B779" s="14" t="n"/>
      <c r="C779" s="14"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37">
      <c r="A780" s="1" t="n"/>
      <c r="B780" s="14" t="n"/>
      <c r="C780" s="14"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37">
      <c r="A781" s="1" t="n"/>
      <c r="B781" s="14" t="n"/>
      <c r="C781" s="14"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37">
      <c r="A782" s="1" t="n"/>
      <c r="B782" s="14" t="n"/>
      <c r="C782" s="14"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37">
      <c r="A783" s="1" t="n"/>
      <c r="B783" s="14" t="n"/>
      <c r="C783" s="14"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37">
      <c r="A784" s="1" t="n"/>
      <c r="B784" s="14" t="n"/>
      <c r="C784" s="14"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37">
      <c r="A785" s="1" t="n"/>
      <c r="B785" s="14" t="n"/>
      <c r="C785" s="14"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37">
      <c r="A786" s="1" t="n"/>
      <c r="B786" s="14" t="n"/>
      <c r="C786" s="14"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37">
      <c r="A787" s="1" t="n"/>
      <c r="B787" s="14" t="n"/>
      <c r="C787" s="14"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37">
      <c r="A788" s="1" t="n"/>
      <c r="B788" s="14" t="n"/>
      <c r="C788" s="14"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37">
      <c r="A789" s="1" t="n"/>
      <c r="B789" s="14" t="n"/>
      <c r="C789" s="14"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37">
      <c r="A790" s="1" t="n"/>
      <c r="B790" s="14" t="n"/>
      <c r="C790" s="14"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37">
      <c r="A791" s="1" t="n"/>
      <c r="B791" s="14" t="n"/>
      <c r="C791" s="14"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37">
      <c r="A792" s="1" t="n"/>
      <c r="B792" s="14" t="n"/>
      <c r="C792" s="14"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37">
      <c r="A793" s="1" t="n"/>
      <c r="B793" s="14" t="n"/>
      <c r="C793" s="14"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37">
      <c r="A794" s="1" t="n"/>
      <c r="B794" s="14" t="n"/>
      <c r="C794" s="14"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37">
      <c r="A795" s="1" t="n"/>
      <c r="B795" s="14" t="n"/>
      <c r="C795" s="14"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37">
      <c r="A796" s="1" t="n"/>
      <c r="B796" s="14" t="n"/>
      <c r="C796" s="14"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37">
      <c r="A797" s="1" t="n"/>
      <c r="B797" s="14" t="n"/>
      <c r="C797" s="14"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37">
      <c r="A798" s="1" t="n"/>
      <c r="B798" s="14" t="n"/>
      <c r="C798" s="14"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37">
      <c r="A799" s="1" t="n"/>
      <c r="B799" s="14" t="n"/>
      <c r="C799" s="14"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37">
      <c r="A800" s="1" t="n"/>
      <c r="B800" s="14" t="n"/>
      <c r="C800" s="14"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37">
      <c r="A801" s="1" t="n"/>
      <c r="B801" s="14" t="n"/>
      <c r="C801" s="14"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37">
      <c r="A802" s="1" t="n"/>
      <c r="B802" s="14" t="n"/>
      <c r="C802" s="14"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37">
      <c r="A803" s="1" t="n"/>
      <c r="B803" s="14" t="n"/>
      <c r="C803" s="14"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37">
      <c r="A804" s="1" t="n"/>
      <c r="B804" s="14" t="n"/>
      <c r="C804" s="14"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37">
      <c r="A805" s="1" t="n"/>
      <c r="B805" s="14" t="n"/>
      <c r="C805" s="14"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37">
      <c r="A806" s="1" t="n"/>
      <c r="B806" s="14" t="n"/>
      <c r="C806" s="14"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37">
      <c r="A807" s="1" t="n"/>
      <c r="B807" s="14" t="n"/>
      <c r="C807" s="14"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37">
      <c r="A808" s="1" t="n"/>
      <c r="B808" s="14" t="n"/>
      <c r="C808" s="14"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37">
      <c r="A809" s="1" t="n"/>
      <c r="B809" s="14" t="n"/>
      <c r="C809" s="14"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37">
      <c r="A810" s="1" t="n"/>
      <c r="B810" s="14" t="n"/>
      <c r="C810" s="14"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37">
      <c r="A811" s="1" t="n"/>
      <c r="B811" s="14" t="n"/>
      <c r="C811" s="14"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37">
      <c r="A812" s="1" t="n"/>
      <c r="B812" s="14" t="n"/>
      <c r="C812" s="14"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37">
      <c r="A813" s="1" t="n"/>
      <c r="B813" s="14" t="n"/>
      <c r="C813" s="14"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37">
      <c r="A814" s="1" t="n"/>
      <c r="B814" s="14" t="n"/>
      <c r="C814" s="14"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37">
      <c r="A815" s="1" t="n"/>
      <c r="B815" s="14" t="n"/>
      <c r="C815" s="14"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37">
      <c r="A816" s="1" t="n"/>
      <c r="B816" s="14" t="n"/>
      <c r="C816" s="14"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37">
      <c r="A817" s="1" t="n"/>
      <c r="B817" s="14" t="n"/>
      <c r="C817" s="14"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37">
      <c r="A818" s="1" t="n"/>
      <c r="B818" s="14" t="n"/>
      <c r="C818" s="14"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37">
      <c r="A819" s="1" t="n"/>
      <c r="B819" s="14" t="n"/>
      <c r="C819" s="14"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37">
      <c r="A820" s="1" t="n"/>
      <c r="B820" s="14" t="n"/>
      <c r="C820" s="14"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37">
      <c r="A821" s="1" t="n"/>
      <c r="B821" s="14" t="n"/>
      <c r="C821" s="14"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37">
      <c r="A822" s="1" t="n"/>
      <c r="B822" s="14" t="n"/>
      <c r="C822" s="14"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37">
      <c r="A823" s="1" t="n"/>
      <c r="B823" s="14" t="n"/>
      <c r="C823" s="14"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37">
      <c r="A824" s="1" t="n"/>
      <c r="B824" s="14" t="n"/>
      <c r="C824" s="14"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37">
      <c r="A825" s="1" t="n"/>
      <c r="B825" s="14" t="n"/>
      <c r="C825" s="14"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37">
      <c r="A826" s="1" t="n"/>
      <c r="B826" s="14" t="n"/>
      <c r="C826" s="14"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37">
      <c r="A827" s="1" t="n"/>
      <c r="B827" s="14" t="n"/>
      <c r="C827" s="14"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37">
      <c r="A828" s="1" t="n"/>
      <c r="B828" s="14" t="n"/>
      <c r="C828" s="14"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37">
      <c r="A829" s="1" t="n"/>
      <c r="B829" s="14" t="n"/>
      <c r="C829" s="14"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37">
      <c r="A830" s="1" t="n"/>
      <c r="B830" s="14" t="n"/>
      <c r="C830" s="14"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37">
      <c r="A831" s="1" t="n"/>
      <c r="B831" s="14" t="n"/>
      <c r="C831" s="14"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37">
      <c r="A832" s="1" t="n"/>
      <c r="B832" s="14" t="n"/>
      <c r="C832" s="14"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37">
      <c r="A833" s="1" t="n"/>
      <c r="B833" s="14" t="n"/>
      <c r="C833" s="14"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37">
      <c r="A834" s="1" t="n"/>
      <c r="B834" s="14" t="n"/>
      <c r="C834" s="14"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37">
      <c r="A835" s="1" t="n"/>
      <c r="B835" s="14" t="n"/>
      <c r="C835" s="14"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37">
      <c r="A836" s="1" t="n"/>
      <c r="B836" s="14" t="n"/>
      <c r="C836" s="14"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37">
      <c r="A837" s="1" t="n"/>
      <c r="B837" s="14" t="n"/>
      <c r="C837" s="14"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37">
      <c r="A838" s="1" t="n"/>
      <c r="B838" s="14" t="n"/>
      <c r="C838" s="14"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37">
      <c r="A839" s="1" t="n"/>
      <c r="B839" s="14" t="n"/>
      <c r="C839" s="14"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37">
      <c r="A840" s="1" t="n"/>
      <c r="B840" s="14" t="n"/>
      <c r="C840" s="14"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37">
      <c r="A841" s="1" t="n"/>
      <c r="B841" s="14" t="n"/>
      <c r="C841" s="14"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37">
      <c r="A842" s="1" t="n"/>
      <c r="B842" s="14" t="n"/>
      <c r="C842" s="14"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37">
      <c r="A843" s="1" t="n"/>
      <c r="B843" s="14" t="n"/>
      <c r="C843" s="14"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37">
      <c r="A844" s="1" t="n"/>
      <c r="B844" s="14" t="n"/>
      <c r="C844" s="14"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37">
      <c r="A845" s="1" t="n"/>
      <c r="B845" s="14" t="n"/>
      <c r="C845" s="14"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37">
      <c r="A846" s="1" t="n"/>
      <c r="B846" s="14" t="n"/>
      <c r="C846" s="14"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37">
      <c r="A847" s="1" t="n"/>
      <c r="B847" s="14" t="n"/>
      <c r="C847" s="14"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37">
      <c r="A848" s="1" t="n"/>
      <c r="B848" s="14" t="n"/>
      <c r="C848" s="14"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37">
      <c r="A849" s="1" t="n"/>
      <c r="B849" s="14" t="n"/>
      <c r="C849" s="14"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37">
      <c r="A850" s="1" t="n"/>
      <c r="B850" s="14" t="n"/>
      <c r="C850" s="14"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37">
      <c r="A851" s="1" t="n"/>
      <c r="B851" s="14" t="n"/>
      <c r="C851" s="14"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37">
      <c r="A852" s="1" t="n"/>
      <c r="B852" s="14" t="n"/>
      <c r="C852" s="14"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37">
      <c r="A853" s="1" t="n"/>
      <c r="B853" s="14" t="n"/>
      <c r="C853" s="14"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37">
      <c r="A854" s="1" t="n"/>
      <c r="B854" s="14" t="n"/>
      <c r="C854" s="14"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37">
      <c r="A855" s="1" t="n"/>
      <c r="B855" s="14" t="n"/>
      <c r="C855" s="14"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37">
      <c r="A856" s="1" t="n"/>
      <c r="B856" s="14" t="n"/>
      <c r="C856" s="14"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37">
      <c r="A857" s="1" t="n"/>
      <c r="B857" s="14" t="n"/>
      <c r="C857" s="14"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37">
      <c r="A858" s="1" t="n"/>
      <c r="B858" s="14" t="n"/>
      <c r="C858" s="14"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37">
      <c r="A859" s="1" t="n"/>
      <c r="B859" s="14" t="n"/>
      <c r="C859" s="14"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37">
      <c r="A860" s="1" t="n"/>
      <c r="B860" s="14" t="n"/>
      <c r="C860" s="14"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37">
      <c r="A861" s="1" t="n"/>
      <c r="B861" s="14" t="n"/>
      <c r="C861" s="14"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37">
      <c r="A862" s="1" t="n"/>
      <c r="B862" s="14" t="n"/>
      <c r="C862" s="14"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37">
      <c r="A863" s="1" t="n"/>
      <c r="B863" s="14" t="n"/>
      <c r="C863" s="14"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37">
      <c r="A864" s="1" t="n"/>
      <c r="B864" s="14" t="n"/>
      <c r="C864" s="14"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37">
      <c r="A865" s="1" t="n"/>
      <c r="B865" s="14" t="n"/>
      <c r="C865" s="14"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37">
      <c r="A866" s="1" t="n"/>
      <c r="B866" s="14" t="n"/>
      <c r="C866" s="14"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37">
      <c r="A867" s="1" t="n"/>
      <c r="B867" s="14" t="n"/>
      <c r="C867" s="14"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37">
      <c r="A868" s="1" t="n"/>
      <c r="B868" s="14" t="n"/>
      <c r="C868" s="14"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37">
      <c r="A869" s="1" t="n"/>
      <c r="B869" s="14" t="n"/>
      <c r="C869" s="14"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37">
      <c r="A870" s="1" t="n"/>
      <c r="B870" s="14" t="n"/>
      <c r="C870" s="14"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37">
      <c r="A871" s="1" t="n"/>
      <c r="B871" s="14" t="n"/>
      <c r="C871" s="14"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37">
      <c r="A872" s="1" t="n"/>
      <c r="B872" s="14" t="n"/>
      <c r="C872" s="14"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37">
      <c r="A873" s="1" t="n"/>
      <c r="B873" s="14" t="n"/>
      <c r="C873" s="14"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37">
      <c r="A874" s="1" t="n"/>
      <c r="B874" s="14" t="n"/>
      <c r="C874" s="14"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37">
      <c r="A875" s="1" t="n"/>
      <c r="B875" s="14" t="n"/>
      <c r="C875" s="14"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37">
      <c r="A876" s="1" t="n"/>
      <c r="B876" s="14" t="n"/>
      <c r="C876" s="14"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37">
      <c r="A877" s="1" t="n"/>
      <c r="B877" s="14" t="n"/>
      <c r="C877" s="14"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37">
      <c r="A878" s="1" t="n"/>
      <c r="B878" s="14" t="n"/>
      <c r="C878" s="14"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37">
      <c r="A879" s="1" t="n"/>
      <c r="B879" s="14" t="n"/>
      <c r="C879" s="14"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37">
      <c r="A880" s="1" t="n"/>
      <c r="B880" s="14" t="n"/>
      <c r="C880" s="14"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37">
      <c r="A881" s="1" t="n"/>
      <c r="B881" s="14" t="n"/>
      <c r="C881" s="14"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37">
      <c r="A882" s="1" t="n"/>
      <c r="B882" s="14" t="n"/>
      <c r="C882" s="14"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37">
      <c r="A883" s="1" t="n"/>
      <c r="B883" s="14" t="n"/>
      <c r="C883" s="14"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37">
      <c r="A884" s="1" t="n"/>
      <c r="B884" s="14" t="n"/>
      <c r="C884" s="14"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37">
      <c r="A885" s="1" t="n"/>
      <c r="B885" s="14" t="n"/>
      <c r="C885" s="14"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37">
      <c r="A886" s="1" t="n"/>
      <c r="B886" s="14" t="n"/>
      <c r="C886" s="14"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37">
      <c r="A887" s="1" t="n"/>
      <c r="B887" s="14" t="n"/>
      <c r="C887" s="14"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37">
      <c r="A888" s="1" t="n"/>
      <c r="B888" s="14" t="n"/>
      <c r="C888" s="14"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37">
      <c r="A889" s="1" t="n"/>
      <c r="B889" s="14" t="n"/>
      <c r="C889" s="14"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37">
      <c r="A890" s="1" t="n"/>
      <c r="B890" s="14" t="n"/>
      <c r="C890" s="14"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37">
      <c r="A891" s="1" t="n"/>
      <c r="B891" s="14" t="n"/>
      <c r="C891" s="14"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37">
      <c r="A892" s="1" t="n"/>
      <c r="B892" s="14" t="n"/>
      <c r="C892" s="14"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37">
      <c r="A893" s="1" t="n"/>
      <c r="B893" s="14" t="n"/>
      <c r="C893" s="14"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37">
      <c r="A894" s="1" t="n"/>
      <c r="B894" s="14" t="n"/>
      <c r="C894" s="14"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37">
      <c r="A895" s="1" t="n"/>
      <c r="B895" s="14" t="n"/>
      <c r="C895" s="14"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37">
      <c r="A896" s="1" t="n"/>
      <c r="B896" s="14" t="n"/>
      <c r="C896" s="14"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37">
      <c r="A897" s="1" t="n"/>
      <c r="B897" s="14" t="n"/>
      <c r="C897" s="14"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37">
      <c r="A898" s="1" t="n"/>
      <c r="B898" s="14" t="n"/>
      <c r="C898" s="14"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37">
      <c r="A899" s="1" t="n"/>
      <c r="B899" s="14" t="n"/>
      <c r="C899" s="14"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37">
      <c r="A900" s="1" t="n"/>
      <c r="B900" s="14" t="n"/>
      <c r="C900" s="14"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37">
      <c r="A901" s="1" t="n"/>
      <c r="B901" s="14" t="n"/>
      <c r="C901" s="14"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37">
      <c r="A902" s="1" t="n"/>
      <c r="B902" s="14" t="n"/>
      <c r="C902" s="14"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37">
      <c r="A903" s="1" t="n"/>
      <c r="B903" s="14" t="n"/>
      <c r="C903" s="14"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37">
      <c r="A904" s="1" t="n"/>
      <c r="B904" s="14" t="n"/>
      <c r="C904" s="14"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37">
      <c r="A905" s="1" t="n"/>
      <c r="B905" s="14" t="n"/>
      <c r="C905" s="14"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37">
      <c r="A906" s="1" t="n"/>
      <c r="B906" s="14" t="n"/>
      <c r="C906" s="14"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37">
      <c r="A907" s="1" t="n"/>
      <c r="B907" s="14" t="n"/>
      <c r="C907" s="14"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37">
      <c r="A908" s="1" t="n"/>
      <c r="B908" s="14" t="n"/>
      <c r="C908" s="14"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37">
      <c r="A909" s="1" t="n"/>
      <c r="B909" s="14" t="n"/>
      <c r="C909" s="14"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37">
      <c r="A910" s="1" t="n"/>
      <c r="B910" s="14" t="n"/>
      <c r="C910" s="14"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37">
      <c r="A911" s="1" t="n"/>
      <c r="B911" s="14" t="n"/>
      <c r="C911" s="14"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37">
      <c r="A912" s="1" t="n"/>
      <c r="B912" s="14" t="n"/>
      <c r="C912" s="14"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37">
      <c r="A913" s="1" t="n"/>
      <c r="B913" s="14" t="n"/>
      <c r="C913" s="14"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37">
      <c r="A914" s="1" t="n"/>
      <c r="B914" s="14" t="n"/>
      <c r="C914" s="14"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37">
      <c r="A915" s="1" t="n"/>
      <c r="B915" s="14" t="n"/>
      <c r="C915" s="14"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37">
      <c r="A916" s="1" t="n"/>
      <c r="B916" s="14" t="n"/>
      <c r="C916" s="14"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37">
      <c r="A917" s="1" t="n"/>
      <c r="B917" s="14" t="n"/>
      <c r="C917" s="14"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37">
      <c r="A918" s="1" t="n"/>
      <c r="B918" s="14" t="n"/>
      <c r="C918" s="14"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37">
      <c r="A919" s="1" t="n"/>
      <c r="B919" s="14" t="n"/>
      <c r="C919" s="14"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37">
      <c r="A920" s="1" t="n"/>
      <c r="B920" s="14" t="n"/>
      <c r="C920" s="14"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37">
      <c r="A921" s="1" t="n"/>
      <c r="B921" s="14" t="n"/>
      <c r="C921" s="14"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37">
      <c r="A922" s="1" t="n"/>
      <c r="B922" s="14" t="n"/>
      <c r="C922" s="14"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37">
      <c r="A923" s="1" t="n"/>
      <c r="B923" s="14" t="n"/>
      <c r="C923" s="14"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37">
      <c r="A924" s="1" t="n"/>
      <c r="B924" s="14" t="n"/>
      <c r="C924" s="14"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37">
      <c r="A925" s="1" t="n"/>
      <c r="B925" s="14" t="n"/>
      <c r="C925" s="14"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37">
      <c r="A926" s="1" t="n"/>
      <c r="B926" s="14" t="n"/>
      <c r="C926" s="14"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37">
      <c r="A927" s="1" t="n"/>
      <c r="B927" s="14" t="n"/>
      <c r="C927" s="14"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37">
      <c r="A928" s="1" t="n"/>
      <c r="B928" s="14" t="n"/>
      <c r="C928" s="14"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37">
      <c r="A929" s="1" t="n"/>
      <c r="B929" s="14" t="n"/>
      <c r="C929" s="14"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37">
      <c r="A930" s="1" t="n"/>
      <c r="B930" s="14" t="n"/>
      <c r="C930" s="14"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37">
      <c r="A931" s="1" t="n"/>
      <c r="B931" s="14" t="n"/>
      <c r="C931" s="14"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37">
      <c r="A932" s="1" t="n"/>
      <c r="B932" s="14" t="n"/>
      <c r="C932" s="14"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37">
      <c r="A933" s="1" t="n"/>
      <c r="B933" s="14" t="n"/>
      <c r="C933" s="14"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37">
      <c r="A934" s="1" t="n"/>
      <c r="B934" s="14" t="n"/>
      <c r="C934" s="14"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37">
      <c r="A935" s="1" t="n"/>
      <c r="B935" s="14" t="n"/>
      <c r="C935" s="14"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37">
      <c r="A936" s="1" t="n"/>
      <c r="B936" s="14" t="n"/>
      <c r="C936" s="14"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37">
      <c r="A937" s="1" t="n"/>
      <c r="B937" s="14" t="n"/>
      <c r="C937" s="14"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37">
      <c r="A938" s="1" t="n"/>
      <c r="B938" s="14" t="n"/>
      <c r="C938" s="14"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37">
      <c r="A939" s="1" t="n"/>
      <c r="B939" s="14" t="n"/>
      <c r="C939" s="14"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37">
      <c r="A940" s="1" t="n"/>
      <c r="B940" s="14" t="n"/>
      <c r="C940" s="14"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37">
      <c r="A941" s="1" t="n"/>
      <c r="B941" s="14" t="n"/>
      <c r="C941" s="14"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37">
      <c r="A942" s="1" t="n"/>
      <c r="B942" s="14" t="n"/>
      <c r="C942" s="14"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37">
      <c r="A943" s="1" t="n"/>
      <c r="B943" s="14" t="n"/>
      <c r="C943" s="14"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37">
      <c r="A944" s="1" t="n"/>
      <c r="B944" s="14" t="n"/>
      <c r="C944" s="14"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37">
      <c r="A945" s="1" t="n"/>
      <c r="B945" s="14" t="n"/>
      <c r="C945" s="14"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37">
      <c r="A946" s="1" t="n"/>
      <c r="B946" s="14" t="n"/>
      <c r="C946" s="14"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37">
      <c r="A947" s="1" t="n"/>
      <c r="B947" s="14" t="n"/>
      <c r="C947" s="14"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37">
      <c r="A948" s="1" t="n"/>
      <c r="B948" s="14" t="n"/>
      <c r="C948" s="14"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37">
      <c r="A949" s="1" t="n"/>
      <c r="B949" s="14" t="n"/>
      <c r="C949" s="14"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37">
      <c r="A950" s="1" t="n"/>
      <c r="B950" s="14" t="n"/>
      <c r="C950" s="14"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37">
      <c r="A951" s="1" t="n"/>
      <c r="B951" s="14" t="n"/>
      <c r="C951" s="14"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37">
      <c r="A952" s="1" t="n"/>
      <c r="B952" s="14" t="n"/>
      <c r="C952" s="14"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37">
      <c r="A953" s="1" t="n"/>
      <c r="B953" s="14" t="n"/>
      <c r="C953" s="14"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37">
      <c r="A954" s="1" t="n"/>
      <c r="B954" s="14" t="n"/>
      <c r="C954" s="14"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37">
      <c r="A955" s="1" t="n"/>
      <c r="B955" s="14" t="n"/>
      <c r="C955" s="14"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37">
      <c r="A956" s="1" t="n"/>
      <c r="B956" s="14" t="n"/>
      <c r="C956" s="14"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37">
      <c r="A957" s="1" t="n"/>
      <c r="B957" s="14" t="n"/>
      <c r="C957" s="14"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37">
      <c r="A958" s="1" t="n"/>
      <c r="B958" s="14" t="n"/>
      <c r="C958" s="14"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37">
      <c r="A959" s="1" t="n"/>
      <c r="B959" s="14" t="n"/>
      <c r="C959" s="14"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37">
      <c r="A960" s="1" t="n"/>
      <c r="B960" s="14" t="n"/>
      <c r="C960" s="14"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37">
      <c r="A961" s="1" t="n"/>
      <c r="B961" s="14" t="n"/>
      <c r="C961" s="14"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37">
      <c r="A962" s="1" t="n"/>
      <c r="B962" s="14" t="n"/>
      <c r="C962" s="14"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37">
      <c r="A963" s="1" t="n"/>
      <c r="B963" s="14" t="n"/>
      <c r="C963" s="14"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37">
      <c r="A964" s="1" t="n"/>
      <c r="B964" s="14" t="n"/>
      <c r="C964" s="14"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37">
      <c r="A965" s="1" t="n"/>
      <c r="B965" s="14" t="n"/>
      <c r="C965" s="14"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37">
      <c r="A966" s="1" t="n"/>
      <c r="B966" s="14" t="n"/>
      <c r="C966" s="14"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37">
      <c r="A967" s="1" t="n"/>
      <c r="B967" s="14" t="n"/>
      <c r="C967" s="14"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37">
      <c r="A968" s="1" t="n"/>
      <c r="B968" s="14" t="n"/>
      <c r="C968" s="14"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37">
      <c r="A969" s="1" t="n"/>
      <c r="B969" s="14" t="n"/>
      <c r="C969" s="14"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37">
      <c r="A970" s="1" t="n"/>
      <c r="B970" s="14" t="n"/>
      <c r="C970" s="14"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37">
      <c r="A971" s="1" t="n"/>
      <c r="B971" s="14" t="n"/>
      <c r="C971" s="14"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37">
      <c r="A972" s="1" t="n"/>
      <c r="B972" s="14" t="n"/>
      <c r="C972" s="14"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37">
      <c r="A973" s="1" t="n"/>
      <c r="B973" s="14" t="n"/>
      <c r="C973" s="14"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37">
      <c r="A974" s="1" t="n"/>
      <c r="B974" s="14" t="n"/>
      <c r="C974" s="14"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37">
      <c r="A975" s="1" t="n"/>
      <c r="B975" s="14" t="n"/>
      <c r="C975" s="14"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37">
      <c r="A976" s="1" t="n"/>
      <c r="B976" s="14" t="n"/>
      <c r="C976" s="14"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37">
      <c r="A977" s="1" t="n"/>
      <c r="B977" s="14" t="n"/>
      <c r="C977" s="14"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37">
      <c r="A978" s="1" t="n"/>
      <c r="B978" s="14" t="n"/>
      <c r="C978" s="14"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37">
      <c r="A979" s="1" t="n"/>
      <c r="B979" s="14" t="n"/>
      <c r="C979" s="14"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37">
      <c r="A980" s="1" t="n"/>
      <c r="B980" s="14" t="n"/>
      <c r="C980" s="14"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37">
      <c r="A981" s="1" t="n"/>
      <c r="B981" s="14" t="n"/>
      <c r="C981" s="14"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37">
      <c r="A982" s="1" t="n"/>
      <c r="B982" s="14" t="n"/>
      <c r="C982" s="14"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37">
      <c r="A983" s="1" t="n"/>
      <c r="B983" s="14" t="n"/>
      <c r="C983" s="14"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37">
      <c r="A984" s="1" t="n"/>
      <c r="B984" s="14" t="n"/>
      <c r="C984" s="14"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37">
      <c r="A985" s="1" t="n"/>
      <c r="B985" s="14" t="n"/>
      <c r="C985" s="14"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37">
      <c r="A986" s="1" t="n"/>
      <c r="B986" s="14" t="n"/>
      <c r="C986" s="14"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37">
      <c r="A987" s="1" t="n"/>
      <c r="B987" s="14" t="n"/>
      <c r="C987" s="14"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37">
      <c r="A988" s="1" t="n"/>
      <c r="B988" s="14" t="n"/>
      <c r="C988" s="14"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37">
      <c r="A989" s="1" t="n"/>
      <c r="B989" s="14" t="n"/>
      <c r="C989" s="14"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37">
      <c r="A990" s="1" t="n"/>
      <c r="B990" s="14" t="n"/>
      <c r="C990" s="14"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37">
      <c r="A991" s="1" t="n"/>
      <c r="B991" s="14" t="n"/>
      <c r="C991" s="14"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37">
      <c r="A992" s="1" t="n"/>
      <c r="B992" s="14" t="n"/>
      <c r="C992" s="14"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37">
      <c r="A993" s="1" t="n"/>
      <c r="B993" s="14" t="n"/>
      <c r="C993" s="14"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37">
      <c r="A994" s="1" t="n"/>
      <c r="B994" s="14" t="n"/>
      <c r="C994" s="14"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37">
      <c r="A995" s="1" t="n"/>
      <c r="B995" s="14" t="n"/>
      <c r="C995" s="14"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37">
      <c r="A996" s="1" t="n"/>
      <c r="B996" s="14" t="n"/>
      <c r="C996" s="14"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37">
      <c r="A997" s="1" t="n"/>
      <c r="B997" s="14" t="n"/>
      <c r="C997" s="14"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37">
      <c r="A998" s="1" t="n"/>
      <c r="B998" s="14" t="n"/>
      <c r="C998" s="14"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37">
      <c r="A999" s="1" t="n"/>
      <c r="B999" s="14" t="n"/>
      <c r="C999" s="14"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37">
      <c r="A1000" s="1" t="n"/>
      <c r="B1000" s="14" t="n"/>
      <c r="C1000" s="14"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9">
    <mergeCell ref="B91:C91"/>
    <mergeCell ref="B70:C70"/>
    <mergeCell ref="B47:C47"/>
    <mergeCell ref="B4:C4"/>
    <mergeCell ref="B63:C63"/>
    <mergeCell ref="B187:C187"/>
    <mergeCell ref="B126:C126"/>
    <mergeCell ref="B162:C162"/>
    <mergeCell ref="B58:C58"/>
  </mergeCell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X15"/>
  <sheetViews>
    <sheetView tabSelected="1" topLeftCell="K1" workbookViewId="0">
      <selection activeCell="O14" sqref="O14"/>
    </sheetView>
  </sheetViews>
  <sheetFormatPr baseColWidth="10" defaultColWidth="11.19921875" defaultRowHeight="15" customHeight="1"/>
  <cols>
    <col width="22.796875" customWidth="1" style="37" min="1" max="1"/>
    <col hidden="1" width="22.796875" customWidth="1" style="37" min="2" max="2"/>
    <col width="16.796875" customWidth="1" style="37" min="3" max="3"/>
    <col width="22.296875" customWidth="1" style="37" min="4" max="4"/>
    <col width="14.8984375" customWidth="1" style="37" min="5" max="5"/>
    <col width="27.69921875" customWidth="1" style="37" min="6" max="6"/>
    <col width="48" customWidth="1" style="37" min="7" max="7"/>
    <col width="31.19921875" customWidth="1" style="37" min="8" max="9"/>
    <col width="20.296875" customWidth="1" style="37" min="10" max="10"/>
    <col width="16.796875" customWidth="1" style="37" min="11" max="11"/>
    <col width="18" customWidth="1" style="37" min="12" max="12"/>
    <col width="26.59765625" bestFit="1" customWidth="1" style="37" min="13" max="13"/>
    <col width="27.69921875" customWidth="1" style="37" min="14" max="15"/>
    <col width="32.59765625" bestFit="1" customWidth="1" style="37" min="16" max="16"/>
    <col width="32.59765625" customWidth="1" style="37" min="17" max="17"/>
    <col width="37.59765625" bestFit="1" customWidth="1" style="37" min="18" max="18"/>
    <col width="44.296875" bestFit="1" customWidth="1" style="37" min="19" max="19"/>
    <col width="44.296875" customWidth="1" style="37" min="20" max="22"/>
    <col width="46.8984375" customWidth="1" style="37" min="23" max="23"/>
    <col width="36" customWidth="1" style="37" min="24" max="24"/>
  </cols>
  <sheetData>
    <row r="1" ht="15.75" customHeight="1" s="37">
      <c r="A1" s="28" t="inlineStr">
        <is>
          <t>Host Name Onpremise</t>
        </is>
      </c>
      <c r="B1" s="28" t="inlineStr">
        <is>
          <t>EC2 Name</t>
        </is>
      </c>
      <c r="C1" s="28" t="inlineStr">
        <is>
          <t>Enviroment</t>
        </is>
      </c>
      <c r="D1" s="28" t="inlineStr">
        <is>
          <t>Number of CPUs</t>
        </is>
      </c>
      <c r="E1" s="28" t="inlineStr">
        <is>
          <t>RAM (GB)</t>
        </is>
      </c>
      <c r="F1" s="28" t="inlineStr">
        <is>
          <t>Operation System Type</t>
        </is>
      </c>
      <c r="G1" s="28" t="inlineStr">
        <is>
          <t>Operation System Name</t>
        </is>
      </c>
      <c r="H1" s="28" t="inlineStr">
        <is>
          <t>AWS Instance Recommended</t>
        </is>
      </c>
      <c r="I1" s="29" t="inlineStr">
        <is>
          <t>AWS Instance Deploy</t>
        </is>
      </c>
      <c r="J1" s="28" t="inlineStr">
        <is>
          <t>AWS Total Cores</t>
        </is>
      </c>
      <c r="K1" s="28" t="inlineStr">
        <is>
          <t>AWS RAM (GB)</t>
        </is>
      </c>
      <c r="L1" s="28" t="inlineStr">
        <is>
          <t>EBS Size (GB)</t>
        </is>
      </c>
      <c r="M1" s="28" t="inlineStr">
        <is>
          <t>EBS Additional Size (GB)</t>
        </is>
      </c>
      <c r="N1" s="28" t="inlineStr">
        <is>
          <t>AWS Region</t>
        </is>
      </c>
      <c r="O1" s="28" t="inlineStr">
        <is>
          <t>Monthly Root EBS Cost</t>
        </is>
      </c>
      <c r="P1" s="28" t="inlineStr">
        <is>
          <t>Annualized 1 Yr Root EBS Cost</t>
        </is>
      </c>
      <c r="Q1" s="28" t="inlineStr">
        <is>
          <t>Monthly Additional EBS Cost</t>
        </is>
      </c>
      <c r="R1" s="28" t="inlineStr">
        <is>
          <t>Annualized 1 Yr Additional EBS Cost</t>
        </is>
      </c>
      <c r="S1" s="28" t="inlineStr">
        <is>
          <t>Monthly  On-Demand Total EC2 - RDS Cost</t>
        </is>
      </c>
      <c r="T1" s="28" t="inlineStr">
        <is>
          <t>Annualized On-Demand Total EC2 - RDS Cost</t>
        </is>
      </c>
      <c r="U1" s="28" t="inlineStr">
        <is>
          <t>Monthly 1 Yr NURI  Standard Reserved Instances Total EC2 - RDS Cost</t>
        </is>
      </c>
      <c r="V1" s="28" t="inlineStr">
        <is>
          <t>Annualized 1 Yr NURI Total EC2 - RDS Cost</t>
        </is>
      </c>
      <c r="W1" s="28" t="inlineStr">
        <is>
          <t>Monthly 3 Yr NURI  Standard Reserved Instances Total EC2 - RDS Cost</t>
        </is>
      </c>
      <c r="X1" s="28" t="inlineStr">
        <is>
          <t>Annualized 3 Yr NURI Total EC2 Cost</t>
        </is>
      </c>
    </row>
    <row r="2" ht="15.75" customHeight="1" s="37">
      <c r="A2" s="30" t="inlineStr">
        <is>
          <t>PAHQTAPIIS01</t>
        </is>
      </c>
      <c r="B2" s="30" t="inlineStr">
        <is>
          <t>USAEA1UAPWES01</t>
        </is>
      </c>
      <c r="C2" s="30" t="inlineStr">
        <is>
          <t>UAT</t>
        </is>
      </c>
      <c r="D2" s="30" t="n">
        <v>4</v>
      </c>
      <c r="E2" s="30" t="n">
        <v>16</v>
      </c>
      <c r="F2" s="30" t="inlineStr">
        <is>
          <t>Windows</t>
        </is>
      </c>
      <c r="G2" s="30" t="inlineStr">
        <is>
          <t>Microsoft Windows Server 2016 or later</t>
        </is>
      </c>
      <c r="H2" s="30" t="inlineStr">
        <is>
          <t>m5a.xlarge</t>
        </is>
      </c>
      <c r="I2" s="30" t="inlineStr">
        <is>
          <t>m5a.xlarge</t>
        </is>
      </c>
      <c r="J2" s="30" t="n">
        <v>4</v>
      </c>
      <c r="K2" s="30" t="n">
        <v>16</v>
      </c>
      <c r="L2" s="30" t="n">
        <v>130</v>
      </c>
      <c r="M2" s="30" t="n"/>
      <c r="N2" s="30" t="inlineStr">
        <is>
          <t>US East (N. Virginia)</t>
        </is>
      </c>
      <c r="O2" s="31" t="n">
        <v>10.4</v>
      </c>
      <c r="P2" s="31">
        <f>PRODUCT(O2,12)</f>
        <v/>
      </c>
      <c r="Q2" s="31" t="n"/>
      <c r="R2" s="31" t="n"/>
      <c r="S2" s="31" t="n">
        <v>259.88</v>
      </c>
      <c r="T2" s="31">
        <f>PRODUCT(S2,12)</f>
        <v/>
      </c>
      <c r="U2" s="31" t="n">
        <v>213.16</v>
      </c>
      <c r="V2" s="31">
        <f>PRODUCT(U2,12)</f>
        <v/>
      </c>
      <c r="W2" s="31" t="n">
        <v>188.34</v>
      </c>
      <c r="X2" s="31">
        <f>PRODUCT(W2,12)</f>
        <v/>
      </c>
    </row>
    <row r="3" ht="15.75" customHeight="1" s="37">
      <c r="A3" s="30" t="inlineStr">
        <is>
          <t>PAHQTFSDSC01</t>
        </is>
      </c>
      <c r="B3" s="30" t="inlineStr">
        <is>
          <t>USAEA1UAPWES02</t>
        </is>
      </c>
      <c r="C3" s="30" t="inlineStr">
        <is>
          <t>UAT</t>
        </is>
      </c>
      <c r="D3" s="30" t="n">
        <v>4</v>
      </c>
      <c r="E3" s="30" t="n">
        <v>8</v>
      </c>
      <c r="F3" s="30" t="inlineStr">
        <is>
          <t>Windows</t>
        </is>
      </c>
      <c r="G3" s="30" t="inlineStr">
        <is>
          <t>Microsoft Windows Server 2022</t>
        </is>
      </c>
      <c r="H3" s="30" t="inlineStr">
        <is>
          <t>c5a.xlarge</t>
        </is>
      </c>
      <c r="I3" s="30" t="inlineStr">
        <is>
          <t>c5a.xlarge</t>
        </is>
      </c>
      <c r="J3" s="30" t="n">
        <v>4</v>
      </c>
      <c r="K3" s="30" t="n">
        <v>8</v>
      </c>
      <c r="L3" s="30" t="n">
        <v>100</v>
      </c>
      <c r="M3" s="30" t="n"/>
      <c r="N3" s="30" t="inlineStr">
        <is>
          <t>US East (N. Virginia)</t>
        </is>
      </c>
      <c r="O3" s="31" t="n">
        <v>8</v>
      </c>
      <c r="P3" s="31">
        <f>PRODUCT(O3,12)</f>
        <v/>
      </c>
      <c r="Q3" s="31" t="n"/>
      <c r="R3" s="31" t="n"/>
      <c r="S3" s="31" t="n">
        <v>246.74</v>
      </c>
      <c r="T3" s="31">
        <f>PRODUCT(S3,12)</f>
        <v/>
      </c>
      <c r="U3" s="31" t="n">
        <v>216.08</v>
      </c>
      <c r="V3" s="31">
        <f>PRODUCT(U3,12)</f>
        <v/>
      </c>
      <c r="W3" s="31" t="n">
        <v>189</v>
      </c>
      <c r="X3" s="31">
        <f>PRODUCT(W3,12)</f>
        <v/>
      </c>
    </row>
    <row r="4" ht="15.75" customHeight="1" s="37">
      <c r="A4" s="30" t="inlineStr">
        <is>
          <t>PAHQTWFINT01</t>
        </is>
      </c>
      <c r="B4" s="30" t="inlineStr">
        <is>
          <t>USAEA1UAPWES03</t>
        </is>
      </c>
      <c r="C4" s="30" t="inlineStr">
        <is>
          <t>UAT</t>
        </is>
      </c>
      <c r="D4" s="30" t="n">
        <v>4</v>
      </c>
      <c r="E4" s="30" t="n">
        <v>8</v>
      </c>
      <c r="F4" s="30" t="inlineStr">
        <is>
          <t>Windows</t>
        </is>
      </c>
      <c r="G4" s="30" t="inlineStr">
        <is>
          <t>Microsoft Windows Server 2019</t>
        </is>
      </c>
      <c r="H4" s="30" t="inlineStr">
        <is>
          <t>c5a.xlarge</t>
        </is>
      </c>
      <c r="I4" s="30" t="inlineStr">
        <is>
          <t>c5a.xlarge</t>
        </is>
      </c>
      <c r="J4" s="30" t="n">
        <v>4</v>
      </c>
      <c r="K4" s="30" t="n">
        <v>8</v>
      </c>
      <c r="L4" s="30" t="n">
        <v>80</v>
      </c>
      <c r="M4" s="30" t="n"/>
      <c r="N4" s="30" t="inlineStr">
        <is>
          <t>US East (N. Virginia)</t>
        </is>
      </c>
      <c r="O4" s="31" t="n">
        <v>6.4</v>
      </c>
      <c r="P4" s="31">
        <f>PRODUCT(O4,12)</f>
        <v/>
      </c>
      <c r="Q4" s="31" t="n"/>
      <c r="R4" s="31" t="n"/>
      <c r="S4" s="31" t="n">
        <v>246.74</v>
      </c>
      <c r="T4" s="31">
        <f>PRODUCT(S4,12)</f>
        <v/>
      </c>
      <c r="U4" s="31" t="n">
        <v>216.08</v>
      </c>
      <c r="V4" s="31">
        <f>PRODUCT(U4,12)</f>
        <v/>
      </c>
      <c r="W4" s="31" t="n">
        <v>189</v>
      </c>
      <c r="X4" s="31">
        <f>PRODUCT(W4,12)</f>
        <v/>
      </c>
    </row>
    <row r="5" ht="15.75" customHeight="1" s="37">
      <c r="A5" s="30" t="inlineStr">
        <is>
          <t>PAHQTAPSTE01</t>
        </is>
      </c>
      <c r="B5" s="30" t="inlineStr">
        <is>
          <t>USAEA1UAPLES01</t>
        </is>
      </c>
      <c r="C5" s="30" t="inlineStr">
        <is>
          <t>UAT</t>
        </is>
      </c>
      <c r="D5" s="30" t="n">
        <v>4</v>
      </c>
      <c r="E5" s="30" t="n">
        <v>8</v>
      </c>
      <c r="F5" s="30" t="inlineStr">
        <is>
          <t>RHEL</t>
        </is>
      </c>
      <c r="G5" s="30" t="inlineStr">
        <is>
          <t>Red Hat Enterprise Linux 8</t>
        </is>
      </c>
      <c r="H5" s="30" t="inlineStr">
        <is>
          <t>c5a.xlarge</t>
        </is>
      </c>
      <c r="I5" s="30" t="inlineStr">
        <is>
          <t>c5a.xlarge</t>
        </is>
      </c>
      <c r="J5" s="30" t="n">
        <v>4</v>
      </c>
      <c r="K5" s="30" t="n">
        <v>8</v>
      </c>
      <c r="L5" s="30" t="n">
        <v>210</v>
      </c>
      <c r="M5" s="30" t="n"/>
      <c r="N5" s="30" t="inlineStr">
        <is>
          <t>US East (N. Virginia)</t>
        </is>
      </c>
      <c r="O5" s="31" t="n">
        <v>16.8</v>
      </c>
      <c r="P5" s="31">
        <f>PRODUCT(O5,12)</f>
        <v/>
      </c>
      <c r="Q5" s="31" t="n"/>
      <c r="R5" s="31" t="n"/>
      <c r="S5" s="31" t="n">
        <v>154.76</v>
      </c>
      <c r="T5" s="31">
        <f>PRODUCT(S5,12)</f>
        <v/>
      </c>
      <c r="U5" s="31" t="n">
        <v>113.15</v>
      </c>
      <c r="V5" s="31">
        <f>PRODUCT(U5,12)</f>
        <v/>
      </c>
      <c r="W5" s="31" t="n">
        <v>90.52</v>
      </c>
      <c r="X5" s="31">
        <f>PRODUCT(W5,12)</f>
        <v/>
      </c>
    </row>
    <row r="6" ht="15.75" customHeight="1" s="37">
      <c r="A6" s="30" t="inlineStr">
        <is>
          <t>PAHQTAPSTS01</t>
        </is>
      </c>
      <c r="B6" s="30" t="inlineStr">
        <is>
          <t>USAEA1UAPLES02</t>
        </is>
      </c>
      <c r="C6" s="30" t="inlineStr">
        <is>
          <t>UAT</t>
        </is>
      </c>
      <c r="D6" s="30" t="n">
        <v>4</v>
      </c>
      <c r="E6" s="30" t="n">
        <v>16</v>
      </c>
      <c r="F6" s="30" t="inlineStr">
        <is>
          <t>RHEL</t>
        </is>
      </c>
      <c r="G6" s="30" t="inlineStr">
        <is>
          <t>Red Hat Enterprise Linux 8</t>
        </is>
      </c>
      <c r="H6" s="30" t="inlineStr">
        <is>
          <t>m5.xlarge</t>
        </is>
      </c>
      <c r="I6" s="30" t="inlineStr">
        <is>
          <t>m5.xlarge</t>
        </is>
      </c>
      <c r="J6" s="30" t="n">
        <v>4</v>
      </c>
      <c r="K6" s="30" t="n">
        <v>16</v>
      </c>
      <c r="L6" s="30" t="n">
        <v>520</v>
      </c>
      <c r="M6" s="30" t="n"/>
      <c r="N6" s="30" t="inlineStr">
        <is>
          <t>US East (N. Virginia)</t>
        </is>
      </c>
      <c r="O6" s="31" t="n">
        <v>41.6</v>
      </c>
      <c r="P6" s="31">
        <f>PRODUCT(O6,12)</f>
        <v/>
      </c>
      <c r="Q6" s="31" t="n"/>
      <c r="R6" s="31" t="n"/>
      <c r="S6" s="31" t="n">
        <v>182.5</v>
      </c>
      <c r="T6" s="31">
        <f>PRODUCT(S6,12)</f>
        <v/>
      </c>
      <c r="U6" s="31" t="n">
        <v>130.67</v>
      </c>
      <c r="V6" s="31">
        <f>PRODUCT(U6,12)</f>
        <v/>
      </c>
      <c r="W6" s="31" t="n">
        <v>102.93</v>
      </c>
      <c r="X6" s="31">
        <f>PRODUCT(W6,12)</f>
        <v/>
      </c>
    </row>
    <row r="7" ht="15.75" customHeight="1" s="37">
      <c r="A7" s="30" t="inlineStr">
        <is>
          <t>PAHQTAPBOF01</t>
        </is>
      </c>
      <c r="B7" s="30" t="inlineStr">
        <is>
          <t>USAEA1TAPLES01</t>
        </is>
      </c>
      <c r="C7" s="30" t="inlineStr">
        <is>
          <t>QA</t>
        </is>
      </c>
      <c r="D7" s="30" t="n">
        <v>2</v>
      </c>
      <c r="E7" s="30" t="n">
        <v>8</v>
      </c>
      <c r="F7" s="30" t="inlineStr">
        <is>
          <t>Linux</t>
        </is>
      </c>
      <c r="G7" s="30" t="inlineStr">
        <is>
          <t>Ubuntu Linux</t>
        </is>
      </c>
      <c r="H7" s="30" t="inlineStr">
        <is>
          <t>m5.large</t>
        </is>
      </c>
      <c r="I7" s="30" t="inlineStr">
        <is>
          <t>m5.large</t>
        </is>
      </c>
      <c r="J7" s="30" t="n">
        <v>2</v>
      </c>
      <c r="K7" s="30" t="n">
        <v>8</v>
      </c>
      <c r="L7" s="30" t="n">
        <v>80</v>
      </c>
      <c r="M7" s="30" t="n"/>
      <c r="N7" s="30" t="inlineStr">
        <is>
          <t>US East (N. Virginia)</t>
        </is>
      </c>
      <c r="O7" s="31" t="n">
        <v>6.4</v>
      </c>
      <c r="P7" s="31">
        <f>PRODUCT(O7,12)</f>
        <v/>
      </c>
      <c r="Q7" s="31" t="n"/>
      <c r="R7" s="31" t="n"/>
      <c r="S7" s="31" t="n">
        <v>70.08</v>
      </c>
      <c r="T7" s="31">
        <f>PRODUCT(S7,12)</f>
        <v/>
      </c>
      <c r="U7" s="31" t="n">
        <v>43.8</v>
      </c>
      <c r="V7" s="31">
        <f>PRODUCT(U7,12)</f>
        <v/>
      </c>
      <c r="W7" s="31" t="n">
        <v>29.93</v>
      </c>
      <c r="X7" s="31">
        <f>PRODUCT(W7,12)</f>
        <v/>
      </c>
    </row>
    <row r="8" ht="15.75" customHeight="1" s="37">
      <c r="A8" s="30" t="inlineStr">
        <is>
          <t>SSRP</t>
        </is>
      </c>
      <c r="B8" s="30" t="n"/>
      <c r="C8" s="30" t="inlineStr">
        <is>
          <t>DEV</t>
        </is>
      </c>
      <c r="D8" s="30" t="n">
        <v>4</v>
      </c>
      <c r="E8" s="30" t="n">
        <v>16</v>
      </c>
      <c r="F8" s="30" t="inlineStr">
        <is>
          <t>Windows</t>
        </is>
      </c>
      <c r="G8" s="30" t="inlineStr">
        <is>
          <t>Microsoft Windows Server 2019</t>
        </is>
      </c>
      <c r="H8" s="30" t="inlineStr">
        <is>
          <t>m5.xlarge</t>
        </is>
      </c>
      <c r="I8" s="30" t="inlineStr">
        <is>
          <t>m5.xlarge</t>
        </is>
      </c>
      <c r="J8" s="30" t="n">
        <v>4</v>
      </c>
      <c r="K8" s="30" t="n">
        <v>16</v>
      </c>
      <c r="L8" s="30" t="n">
        <v>100</v>
      </c>
      <c r="M8" s="30" t="n"/>
      <c r="N8" s="30" t="inlineStr">
        <is>
          <t>US East (N. Virginia)</t>
        </is>
      </c>
      <c r="O8" s="31" t="n">
        <v>8</v>
      </c>
      <c r="P8" s="31">
        <f>PRODUCT(O8,12)</f>
        <v/>
      </c>
      <c r="Q8" s="31" t="n"/>
      <c r="R8" s="31" t="n"/>
      <c r="S8" s="31" t="n">
        <v>282.48</v>
      </c>
      <c r="T8" s="31">
        <f>PRODUCT(S8,12)</f>
        <v/>
      </c>
      <c r="U8" s="31" t="n">
        <v>222.65</v>
      </c>
      <c r="V8" s="31">
        <f>PRODUCT(U8,12)</f>
        <v/>
      </c>
      <c r="W8" s="31" t="n">
        <v>194.91</v>
      </c>
      <c r="X8" s="31">
        <f>PRODUCT(W8,12)</f>
        <v/>
      </c>
    </row>
    <row r="9" ht="15.75" customHeight="1" s="37">
      <c r="A9" s="32" t="inlineStr">
        <is>
          <t>PAHQDAPIIS01</t>
        </is>
      </c>
      <c r="B9" s="32" t="n"/>
      <c r="C9" s="32" t="inlineStr">
        <is>
          <t>DEV</t>
        </is>
      </c>
      <c r="D9" s="32" t="n">
        <v>2</v>
      </c>
      <c r="E9" s="32" t="n">
        <v>8</v>
      </c>
      <c r="F9" s="32" t="inlineStr">
        <is>
          <t>Windows</t>
        </is>
      </c>
      <c r="G9" s="32" t="inlineStr">
        <is>
          <t>Microsoft Windows Server 2019</t>
        </is>
      </c>
      <c r="H9" s="32" t="inlineStr">
        <is>
          <t>m5a.large</t>
        </is>
      </c>
      <c r="I9" s="32" t="inlineStr">
        <is>
          <t>m5a.large</t>
        </is>
      </c>
      <c r="J9" s="32" t="n">
        <v>2</v>
      </c>
      <c r="K9" s="32" t="n">
        <v>8</v>
      </c>
      <c r="L9" s="32" t="n">
        <v>100</v>
      </c>
      <c r="M9" s="32" t="n"/>
      <c r="N9" s="32" t="inlineStr">
        <is>
          <t>US East (N. Virginia)</t>
        </is>
      </c>
      <c r="O9" s="31" t="n">
        <v>8</v>
      </c>
      <c r="P9" s="31">
        <f>PRODUCT(O9,12)</f>
        <v/>
      </c>
      <c r="Q9" s="31" t="n"/>
      <c r="R9" s="31" t="n"/>
      <c r="S9" s="31" t="n">
        <v>129.94</v>
      </c>
      <c r="T9" s="31">
        <f>PRODUCT(S9,12)</f>
        <v/>
      </c>
      <c r="U9" s="31" t="n">
        <v>106.58</v>
      </c>
      <c r="V9" s="31">
        <f>PRODUCT(U9,12)</f>
        <v/>
      </c>
      <c r="W9" s="31" t="n">
        <v>94.17</v>
      </c>
      <c r="X9" s="31">
        <f>PRODUCT(W9,12)</f>
        <v/>
      </c>
    </row>
    <row r="10" ht="15.75" customHeight="1" s="37">
      <c r="A10" s="32" t="inlineStr">
        <is>
          <t>PAHQDWFINT01</t>
        </is>
      </c>
      <c r="B10" s="32" t="n"/>
      <c r="C10" s="32" t="inlineStr">
        <is>
          <t>DEV</t>
        </is>
      </c>
      <c r="D10" s="32" t="n">
        <v>4</v>
      </c>
      <c r="E10" s="32" t="n">
        <v>8</v>
      </c>
      <c r="F10" s="32" t="inlineStr">
        <is>
          <t>Windows</t>
        </is>
      </c>
      <c r="G10" s="32" t="inlineStr">
        <is>
          <t>Microsoft Windows Server 2022</t>
        </is>
      </c>
      <c r="H10" s="32" t="inlineStr">
        <is>
          <t>c5a.xlarge</t>
        </is>
      </c>
      <c r="I10" s="32" t="inlineStr">
        <is>
          <t>c5a.xlarge</t>
        </is>
      </c>
      <c r="J10" s="32" t="n">
        <v>4</v>
      </c>
      <c r="K10" s="32" t="n">
        <v>8</v>
      </c>
      <c r="L10" s="32" t="n">
        <v>100</v>
      </c>
      <c r="M10" s="32" t="n"/>
      <c r="N10" s="32" t="inlineStr">
        <is>
          <t>US East (N. Virginia)</t>
        </is>
      </c>
      <c r="O10" s="31" t="n">
        <v>8</v>
      </c>
      <c r="P10" s="31">
        <f>PRODUCT(O10,12)</f>
        <v/>
      </c>
      <c r="Q10" s="31" t="n"/>
      <c r="R10" s="31" t="n"/>
      <c r="S10" s="31" t="n">
        <v>246.74</v>
      </c>
      <c r="T10" s="31">
        <f>PRODUCT(S10,12)</f>
        <v/>
      </c>
      <c r="U10" s="31" t="n">
        <v>205.13</v>
      </c>
      <c r="V10" s="31">
        <f>PRODUCT(U10,12)</f>
        <v/>
      </c>
      <c r="W10" s="31" t="n">
        <v>183.23</v>
      </c>
      <c r="X10" s="31">
        <f>PRODUCT(W10,12)</f>
        <v/>
      </c>
    </row>
    <row r="11" ht="15.75" customHeight="1" s="37">
      <c r="A11" s="30" t="inlineStr">
        <is>
          <t>PAHQDAPWSS01</t>
        </is>
      </c>
      <c r="B11" s="30" t="n"/>
      <c r="C11" s="30" t="inlineStr">
        <is>
          <t>QA</t>
        </is>
      </c>
      <c r="D11" s="30" t="n">
        <v>2</v>
      </c>
      <c r="E11" s="30" t="n">
        <v>8</v>
      </c>
      <c r="F11" s="30" t="inlineStr">
        <is>
          <t>Windows</t>
        </is>
      </c>
      <c r="G11" s="30" t="inlineStr">
        <is>
          <t>Microsoft Windows Server 2019</t>
        </is>
      </c>
      <c r="H11" s="30" t="inlineStr">
        <is>
          <t>m5.large</t>
        </is>
      </c>
      <c r="I11" s="30" t="inlineStr">
        <is>
          <t>m5.large</t>
        </is>
      </c>
      <c r="J11" s="30" t="n">
        <v>2</v>
      </c>
      <c r="K11" s="30" t="n">
        <v>8</v>
      </c>
      <c r="L11" s="30" t="n">
        <v>100</v>
      </c>
      <c r="M11" s="30" t="n">
        <v>100</v>
      </c>
      <c r="N11" s="30" t="inlineStr">
        <is>
          <t>US East (N. Virginia)</t>
        </is>
      </c>
      <c r="O11" s="31" t="n">
        <v>8</v>
      </c>
      <c r="P11" s="31">
        <f>PRODUCT(O11,12)</f>
        <v/>
      </c>
      <c r="Q11" s="31" t="n"/>
      <c r="R11" s="31" t="n"/>
      <c r="S11" s="31" t="n">
        <v>137.24</v>
      </c>
      <c r="T11" s="31">
        <f>PRODUCT(S11,12)</f>
        <v/>
      </c>
      <c r="U11" s="31" t="n">
        <v>110.96</v>
      </c>
      <c r="V11" s="31">
        <f>PRODUCT(U11,12)</f>
        <v/>
      </c>
      <c r="W11" s="31" t="n">
        <v>97.09</v>
      </c>
      <c r="X11" s="31">
        <f>PRODUCT(W11,12)</f>
        <v/>
      </c>
    </row>
    <row r="12" ht="15.75" customHeight="1" s="37">
      <c r="A12" s="30" t="inlineStr">
        <is>
          <t>PAHQTWFINT02</t>
        </is>
      </c>
      <c r="B12" s="30" t="n"/>
      <c r="C12" s="30" t="inlineStr">
        <is>
          <t>QA</t>
        </is>
      </c>
      <c r="D12" s="30" t="n">
        <v>4</v>
      </c>
      <c r="E12" s="30" t="n">
        <v>8</v>
      </c>
      <c r="F12" s="30" t="inlineStr">
        <is>
          <t>Windows</t>
        </is>
      </c>
      <c r="G12" s="30" t="inlineStr">
        <is>
          <t>Microsoft Windows Server 2019</t>
        </is>
      </c>
      <c r="H12" s="30" t="inlineStr">
        <is>
          <t>c5a.xlarge</t>
        </is>
      </c>
      <c r="I12" s="30" t="inlineStr">
        <is>
          <t>c5a.xlarge</t>
        </is>
      </c>
      <c r="J12" s="30" t="n">
        <v>4</v>
      </c>
      <c r="K12" s="30" t="n">
        <v>8</v>
      </c>
      <c r="L12" s="30" t="n">
        <v>80</v>
      </c>
      <c r="M12" s="30" t="n"/>
      <c r="N12" s="30" t="inlineStr">
        <is>
          <t>US East (N. Virginia)</t>
        </is>
      </c>
      <c r="O12" s="31" t="n">
        <v>6.4</v>
      </c>
      <c r="P12" s="31">
        <f>PRODUCT(O12,12)</f>
        <v/>
      </c>
      <c r="Q12" s="31" t="n"/>
      <c r="R12" s="31" t="n"/>
      <c r="S12" s="31" t="n">
        <v>246.74</v>
      </c>
      <c r="T12" s="31">
        <f>PRODUCT(S12,12)</f>
        <v/>
      </c>
      <c r="U12" s="31" t="n">
        <v>205.13</v>
      </c>
      <c r="V12" s="31">
        <f>PRODUCT(U12,12)</f>
        <v/>
      </c>
      <c r="W12" s="31" t="n">
        <v>183.23</v>
      </c>
      <c r="X12" s="31">
        <f>PRODUCT(W12,12)</f>
        <v/>
      </c>
    </row>
    <row r="13" ht="15.75" customHeight="1" s="37">
      <c r="A13" s="30" t="inlineStr">
        <is>
          <t>RDS SQL Server (UAT)</t>
        </is>
      </c>
      <c r="B13" s="30" t="n"/>
      <c r="C13" s="30" t="inlineStr">
        <is>
          <t>UAT</t>
        </is>
      </c>
      <c r="D13" s="30" t="n">
        <v>2</v>
      </c>
      <c r="E13" s="30" t="n">
        <v>16</v>
      </c>
      <c r="F13" s="30" t="inlineStr">
        <is>
          <t>SQL Server - Standard</t>
        </is>
      </c>
      <c r="G13" s="30" t="inlineStr">
        <is>
          <t>SQL Server Standard Edition 15.x</t>
        </is>
      </c>
      <c r="H13" s="30" t="inlineStr">
        <is>
          <t>db.r5.large</t>
        </is>
      </c>
      <c r="I13" s="30" t="inlineStr">
        <is>
          <t>db.r5.large</t>
        </is>
      </c>
      <c r="J13" s="30" t="n">
        <v>2</v>
      </c>
      <c r="K13" s="30" t="n">
        <v>16</v>
      </c>
      <c r="L13" s="30" t="n">
        <v>200</v>
      </c>
      <c r="M13" s="30" t="n"/>
      <c r="N13" s="30" t="inlineStr">
        <is>
          <t>US East (N. Virginia)</t>
        </is>
      </c>
      <c r="O13" s="31" t="n">
        <v>23</v>
      </c>
      <c r="P13" s="31">
        <f>PRODUCT(O13,12)</f>
        <v/>
      </c>
      <c r="Q13" s="31" t="n"/>
      <c r="R13" s="31" t="n"/>
      <c r="S13" s="31" t="n">
        <v>744.6</v>
      </c>
      <c r="T13" s="31">
        <f>PRODUCT(S13,12)</f>
        <v/>
      </c>
      <c r="U13" s="31">
        <f>V13/12</f>
        <v/>
      </c>
      <c r="V13" s="31" t="n">
        <v>7881</v>
      </c>
      <c r="W13" s="31">
        <f>X13/36</f>
        <v/>
      </c>
      <c r="X13" s="31" t="n">
        <v>21016</v>
      </c>
    </row>
    <row r="14" ht="15.75" customHeight="1" s="37">
      <c r="A14" s="30" t="inlineStr">
        <is>
          <t>RDS SQL Server (DEV)</t>
        </is>
      </c>
      <c r="B14" s="30" t="n"/>
      <c r="C14" s="30" t="inlineStr">
        <is>
          <t>DEV</t>
        </is>
      </c>
      <c r="D14" s="30" t="n">
        <v>4</v>
      </c>
      <c r="E14" s="30" t="n">
        <v>16</v>
      </c>
      <c r="F14" s="30" t="inlineStr">
        <is>
          <t>SQL Server - Developer</t>
        </is>
      </c>
      <c r="G14" s="30" t="inlineStr">
        <is>
          <t>SQL Server Developer Edition 16.x</t>
        </is>
      </c>
      <c r="H14" s="30" t="inlineStr">
        <is>
          <t>db.m6i.xlarge</t>
        </is>
      </c>
      <c r="I14" s="30" t="inlineStr">
        <is>
          <t>db.m6i.xlarge</t>
        </is>
      </c>
      <c r="J14" s="30" t="n">
        <v>4</v>
      </c>
      <c r="K14" s="30" t="n">
        <v>16</v>
      </c>
      <c r="L14" s="30" t="n">
        <v>500</v>
      </c>
      <c r="M14" s="30" t="n"/>
      <c r="N14" s="30" t="inlineStr">
        <is>
          <t>US East (N. Virginia)</t>
        </is>
      </c>
      <c r="O14" s="31" t="n">
        <v>57.5</v>
      </c>
      <c r="P14" s="31">
        <f>PRODUCT(O14,12)</f>
        <v/>
      </c>
      <c r="Q14" s="31" t="n"/>
      <c r="R14" s="31" t="n"/>
      <c r="S14" s="31" t="n">
        <v>438</v>
      </c>
      <c r="T14" s="31">
        <f>PRODUCT(S14,12)</f>
        <v/>
      </c>
      <c r="U14" s="31" t="inlineStr">
        <is>
          <t>NA</t>
        </is>
      </c>
      <c r="V14" s="31" t="inlineStr">
        <is>
          <t>NA</t>
        </is>
      </c>
      <c r="W14" s="31" t="inlineStr">
        <is>
          <t>NA</t>
        </is>
      </c>
      <c r="X14" s="31" t="inlineStr">
        <is>
          <t>NA</t>
        </is>
      </c>
    </row>
    <row r="15" ht="15.75" customHeight="1" s="37">
      <c r="A15" s="30" t="inlineStr">
        <is>
          <t>RDS SQL Server (QA)</t>
        </is>
      </c>
      <c r="B15" s="30" t="n"/>
      <c r="C15" s="30" t="inlineStr">
        <is>
          <t>QA</t>
        </is>
      </c>
      <c r="D15" s="30" t="n">
        <v>2</v>
      </c>
      <c r="E15" s="30" t="n">
        <v>16</v>
      </c>
      <c r="F15" s="30" t="inlineStr">
        <is>
          <t>SQL Server - Standard</t>
        </is>
      </c>
      <c r="G15" s="30" t="inlineStr">
        <is>
          <t>SQL Server Standard Edition 15.x</t>
        </is>
      </c>
      <c r="H15" s="30" t="inlineStr">
        <is>
          <t>db.r5.large</t>
        </is>
      </c>
      <c r="I15" s="30" t="inlineStr">
        <is>
          <t>db.r5.large</t>
        </is>
      </c>
      <c r="J15" s="30" t="n">
        <v>2</v>
      </c>
      <c r="K15" s="30" t="n">
        <v>16</v>
      </c>
      <c r="L15" s="30" t="n">
        <v>200</v>
      </c>
      <c r="M15" s="30" t="n"/>
      <c r="N15" s="30" t="inlineStr">
        <is>
          <t>US East (N. Virginia)</t>
        </is>
      </c>
      <c r="O15" s="31" t="n">
        <v>23</v>
      </c>
      <c r="P15" s="31">
        <f>PRODUCT(O15,12)</f>
        <v/>
      </c>
      <c r="Q15" s="31" t="n"/>
      <c r="R15" s="31" t="n"/>
      <c r="S15" s="31" t="n">
        <v>744.6</v>
      </c>
      <c r="T15" s="31">
        <f>PRODUCT(S15,12)</f>
        <v/>
      </c>
      <c r="U15" s="31">
        <f>(V15/12)</f>
        <v/>
      </c>
      <c r="V15" s="31" t="n">
        <v>7881</v>
      </c>
      <c r="W15" s="31">
        <f>(X15/36)</f>
        <v/>
      </c>
      <c r="X15" s="31" t="n">
        <v>21016</v>
      </c>
    </row>
    <row r="16" ht="15.75" customHeight="1" s="37"/>
    <row r="17" ht="15.75" customHeight="1" s="37"/>
    <row r="18" ht="15.75" customHeight="1" s="37"/>
    <row r="19" ht="15.75" customHeight="1" s="37"/>
    <row r="20" ht="15.75" customHeight="1" s="37"/>
    <row r="21" ht="15.75" customHeight="1" s="37"/>
    <row r="22" ht="15.75" customHeight="1" s="37"/>
    <row r="23" ht="15.75" customHeight="1" s="37"/>
    <row r="24" ht="15.75" customHeight="1" s="37"/>
    <row r="25" ht="15.75" customHeight="1" s="37"/>
    <row r="26" ht="15.75" customHeight="1" s="37"/>
    <row r="27" ht="15.75" customHeight="1" s="37"/>
    <row r="28" ht="15.75" customHeight="1" s="37"/>
    <row r="29" ht="15.75" customHeight="1" s="37"/>
    <row r="30" ht="15.75" customHeight="1" s="37"/>
    <row r="31" ht="15.75" customHeight="1" s="37"/>
    <row r="32" ht="15.75" customHeight="1" s="37"/>
    <row r="33" ht="15.75" customHeight="1" s="37"/>
    <row r="34" ht="15.75" customHeight="1" s="37"/>
    <row r="35" ht="15.75" customHeight="1" s="37"/>
    <row r="36" ht="15.75" customHeight="1" s="37"/>
    <row r="37" ht="15.75" customHeight="1" s="37"/>
    <row r="38" ht="15.75" customHeight="1" s="37"/>
    <row r="39" ht="15.75" customHeight="1" s="37"/>
    <row r="40" ht="15.75" customHeight="1" s="37"/>
    <row r="41" ht="15.75" customHeight="1" s="37"/>
    <row r="42" ht="15.75" customHeight="1" s="37"/>
    <row r="43" ht="15.75" customHeight="1" s="37"/>
    <row r="44" ht="15.75" customHeight="1" s="37"/>
    <row r="45" ht="15.75" customHeight="1" s="37"/>
    <row r="46" ht="15.75" customHeight="1" s="37"/>
    <row r="47" ht="15.75" customHeight="1" s="37"/>
    <row r="48" ht="15.75" customHeight="1" s="37"/>
    <row r="49" ht="15.75" customHeight="1" s="37"/>
    <row r="50" ht="15.75" customHeight="1" s="37"/>
    <row r="51" ht="15.75" customHeight="1" s="37"/>
    <row r="52" ht="15.75" customHeight="1" s="37"/>
    <row r="53" ht="15.75" customHeight="1" s="37"/>
    <row r="54" ht="15.75" customHeight="1" s="37"/>
    <row r="55" ht="15.75" customHeight="1" s="37"/>
    <row r="56" ht="15.75" customHeight="1" s="37"/>
    <row r="57" ht="15.75" customHeight="1" s="37"/>
    <row r="58" ht="15.75" customHeight="1" s="37"/>
    <row r="59" ht="15.75" customHeight="1" s="37"/>
    <row r="60" ht="15.75" customHeight="1" s="37"/>
    <row r="61" ht="15.75" customHeight="1" s="37"/>
    <row r="62" ht="15.75" customHeight="1" s="37"/>
    <row r="63" ht="15.75" customHeight="1" s="37"/>
    <row r="64" ht="15.75" customHeight="1" s="37"/>
    <row r="65" ht="15.75" customHeight="1" s="37"/>
    <row r="66" ht="15.75" customHeight="1" s="37"/>
    <row r="67" ht="15.75" customHeight="1" s="37"/>
    <row r="68" ht="15.75" customHeight="1" s="37"/>
    <row r="69" ht="15.75" customHeight="1" s="37"/>
    <row r="70" ht="15.75" customHeight="1" s="37"/>
    <row r="71" ht="15.75" customHeight="1" s="37"/>
    <row r="72" ht="15.75" customHeight="1" s="37"/>
    <row r="73" ht="15.75" customHeight="1" s="37"/>
    <row r="74" ht="15.75" customHeight="1" s="37"/>
    <row r="75" ht="15.75" customHeight="1" s="37"/>
    <row r="76" ht="15.75" customHeight="1" s="37"/>
    <row r="77" ht="15.75" customHeight="1" s="37"/>
    <row r="78" ht="15.75" customHeight="1" s="37"/>
    <row r="79" ht="15.75" customHeight="1" s="37"/>
    <row r="80" ht="15.75" customHeight="1" s="37"/>
    <row r="81" ht="15.75" customHeight="1" s="37"/>
    <row r="82" ht="15.75" customHeight="1" s="37"/>
    <row r="83" ht="15.75" customHeight="1" s="37"/>
    <row r="84" ht="15.75" customHeight="1" s="37"/>
    <row r="85" ht="15.75" customHeight="1" s="37"/>
    <row r="86" ht="15.75" customHeight="1" s="37"/>
    <row r="87" ht="15.75" customHeight="1" s="37"/>
    <row r="88" ht="15.75" customHeight="1" s="37"/>
    <row r="89" ht="15.75" customHeight="1" s="37"/>
    <row r="90" ht="15.75" customHeight="1" s="37"/>
    <row r="91" ht="15.75" customHeight="1" s="37"/>
    <row r="92" ht="15.75" customHeight="1" s="37"/>
    <row r="93" ht="15.75" customHeight="1" s="37"/>
    <row r="94" ht="15.75" customHeight="1" s="37"/>
    <row r="95" ht="15.75" customHeight="1" s="37"/>
    <row r="96" ht="15.75" customHeight="1" s="37"/>
    <row r="97" ht="15.75" customHeight="1" s="37"/>
    <row r="98" ht="15.75" customHeight="1" s="37"/>
    <row r="99" ht="15.75" customHeight="1" s="37"/>
    <row r="100" ht="15.75" customHeight="1" s="37"/>
    <row r="101" ht="15.75" customHeight="1" s="37"/>
    <row r="102" ht="15.75" customHeight="1" s="37"/>
    <row r="103" ht="15.75" customHeight="1" s="37"/>
    <row r="104" ht="15.75" customHeight="1" s="37"/>
    <row r="105" ht="15.75" customHeight="1" s="37"/>
    <row r="106" ht="15.75" customHeight="1" s="37"/>
    <row r="107" ht="15.75" customHeight="1" s="37"/>
    <row r="108" ht="15.75" customHeight="1" s="37"/>
    <row r="109" ht="15.75" customHeight="1" s="37"/>
    <row r="110" ht="15.75" customHeight="1" s="37"/>
    <row r="111" ht="15.75" customHeight="1" s="37"/>
    <row r="112" ht="15.75" customHeight="1" s="37"/>
    <row r="113" ht="15.75" customHeight="1" s="37"/>
    <row r="114" ht="15.75" customHeight="1" s="37"/>
    <row r="115" ht="15.75" customHeight="1" s="37"/>
    <row r="116" ht="15.75" customHeight="1" s="37"/>
    <row r="117" ht="15.75" customHeight="1" s="37"/>
    <row r="118" ht="15.75" customHeight="1" s="37"/>
    <row r="119" ht="15.75" customHeight="1" s="37"/>
    <row r="120" ht="15.75" customHeight="1" s="37"/>
    <row r="121" ht="15.75" customHeight="1" s="37"/>
    <row r="122" ht="15.75" customHeight="1" s="37"/>
    <row r="123" ht="15.75" customHeight="1" s="37"/>
    <row r="124" ht="15.75" customHeight="1" s="37"/>
    <row r="125" ht="15.75" customHeight="1" s="37"/>
    <row r="126" ht="15.75" customHeight="1" s="37"/>
    <row r="127" ht="15.75" customHeight="1" s="37"/>
    <row r="128" ht="15.75" customHeight="1" s="37"/>
    <row r="129" ht="15.75" customHeight="1" s="37"/>
    <row r="130" ht="15.75" customHeight="1" s="37"/>
    <row r="131" ht="15.75" customHeight="1" s="37"/>
    <row r="132" ht="15.75" customHeight="1" s="37"/>
    <row r="133" ht="15.75" customHeight="1" s="37"/>
    <row r="134" ht="15.75" customHeight="1" s="37"/>
    <row r="135" ht="15.75" customHeight="1" s="37"/>
    <row r="136" ht="15.75" customHeight="1" s="37"/>
    <row r="137" ht="15.75" customHeight="1" s="37"/>
    <row r="138" ht="15.75" customHeight="1" s="37"/>
    <row r="139" ht="15.75" customHeight="1" s="37"/>
    <row r="140" ht="15.75" customHeight="1" s="37"/>
    <row r="141" ht="15.75" customHeight="1" s="37"/>
    <row r="142" ht="15.75" customHeight="1" s="37"/>
    <row r="143" ht="15.75" customHeight="1" s="37"/>
    <row r="144" ht="15.75" customHeight="1" s="37"/>
    <row r="145" ht="15.75" customHeight="1" s="37"/>
    <row r="146" ht="15.75" customHeight="1" s="37"/>
    <row r="147" ht="15.75" customHeight="1" s="37"/>
    <row r="148" ht="15.75" customHeight="1" s="37"/>
    <row r="149" ht="15.75" customHeight="1" s="37"/>
    <row r="150" ht="15.75" customHeight="1" s="37"/>
    <row r="151" ht="15.75" customHeight="1" s="37"/>
    <row r="152" ht="15.75" customHeight="1" s="37"/>
    <row r="153" ht="15.75" customHeight="1" s="37"/>
    <row r="154" ht="15.75" customHeight="1" s="37"/>
    <row r="155" ht="15.75" customHeight="1" s="37"/>
    <row r="156" ht="15.75" customHeight="1" s="37"/>
    <row r="157" ht="15.75" customHeight="1" s="37"/>
    <row r="158" ht="15.75" customHeight="1" s="37"/>
    <row r="159" ht="15.75" customHeight="1" s="37"/>
    <row r="160" ht="15.75" customHeight="1" s="37"/>
    <row r="161" ht="15.75" customHeight="1" s="37"/>
    <row r="162" ht="15.75" customHeight="1" s="37"/>
    <row r="163" ht="15.75" customHeight="1" s="37"/>
    <row r="164" ht="15.75" customHeight="1" s="37"/>
    <row r="165" ht="15.75" customHeight="1" s="37"/>
    <row r="166" ht="15.75" customHeight="1" s="37"/>
    <row r="167" ht="15.75" customHeight="1" s="37"/>
    <row r="168" ht="15.75" customHeight="1" s="37"/>
    <row r="169" ht="15.75" customHeight="1" s="37"/>
    <row r="170" ht="15.75" customHeight="1" s="37"/>
    <row r="171" ht="15.75" customHeight="1" s="37"/>
    <row r="172" ht="15.75" customHeight="1" s="37"/>
    <row r="173" ht="15.75" customHeight="1" s="37"/>
    <row r="174" ht="15.75" customHeight="1" s="37"/>
    <row r="175" ht="15.75" customHeight="1" s="37"/>
    <row r="176" ht="15.75" customHeight="1" s="37"/>
    <row r="177" ht="15.75" customHeight="1" s="37"/>
    <row r="178" ht="15.75" customHeight="1" s="37"/>
    <row r="179" ht="15.75" customHeight="1" s="37"/>
    <row r="180" ht="15.75" customHeight="1" s="37"/>
    <row r="181" ht="15.75" customHeight="1" s="37"/>
    <row r="182" ht="15.75" customHeight="1" s="37"/>
    <row r="183" ht="15.75" customHeight="1" s="37"/>
    <row r="184" ht="15.75" customHeight="1" s="37"/>
    <row r="185" ht="15.75" customHeight="1" s="37"/>
    <row r="186" ht="15.75" customHeight="1" s="37"/>
    <row r="187" ht="15.75" customHeight="1" s="37"/>
    <row r="188" ht="15.75" customHeight="1" s="37"/>
    <row r="189" ht="15.75" customHeight="1" s="37"/>
    <row r="190" ht="15.75" customHeight="1" s="37"/>
    <row r="191" ht="15.75" customHeight="1" s="37"/>
    <row r="192" ht="15.75" customHeight="1" s="37"/>
    <row r="193" ht="15.75" customHeight="1" s="37"/>
    <row r="194" ht="15.75" customHeight="1" s="37"/>
    <row r="195" ht="15.75" customHeight="1" s="37"/>
    <row r="196" ht="15.75" customHeight="1" s="37"/>
    <row r="197" ht="15.75" customHeight="1" s="37"/>
    <row r="198" ht="15.75" customHeight="1" s="37"/>
    <row r="199" ht="15.75" customHeight="1" s="37"/>
    <row r="200" ht="15.75" customHeight="1" s="37"/>
    <row r="201" ht="15.75" customHeight="1" s="37"/>
    <row r="202" ht="15.75" customHeight="1" s="37"/>
    <row r="203" ht="15.75" customHeight="1" s="37"/>
    <row r="204" ht="15.75" customHeight="1" s="37"/>
    <row r="205" ht="15.75" customHeight="1" s="37"/>
    <row r="206" ht="15.75" customHeight="1" s="37"/>
    <row r="207" ht="15.75" customHeight="1" s="37"/>
    <row r="208" ht="15.75" customHeight="1" s="37"/>
    <row r="209" ht="15.75" customHeight="1" s="37"/>
    <row r="210" ht="15.75" customHeight="1" s="37"/>
    <row r="211" ht="15.75" customHeight="1" s="37"/>
    <row r="212" ht="15.75" customHeight="1" s="37"/>
    <row r="213" ht="15.75" customHeight="1" s="37"/>
    <row r="214" ht="15.75" customHeight="1" s="37"/>
    <row r="215" ht="15.75" customHeight="1" s="37"/>
    <row r="216" ht="15.75" customHeight="1" s="37"/>
    <row r="217" ht="15.75" customHeight="1" s="37"/>
    <row r="218" ht="15.75" customHeight="1" s="37"/>
    <row r="219" ht="15.75" customHeight="1" s="37"/>
    <row r="220" ht="15.75" customHeight="1" s="37"/>
    <row r="221" ht="15.75" customHeight="1" s="37"/>
    <row r="222" ht="15.75" customHeight="1" s="37"/>
    <row r="223" ht="15.75" customHeight="1" s="37"/>
    <row r="224" ht="15.75" customHeight="1" s="37"/>
    <row r="225" ht="15.75" customHeight="1" s="37"/>
    <row r="226" ht="15.75" customHeight="1" s="37"/>
    <row r="227" ht="15.75" customHeight="1" s="37"/>
    <row r="228" ht="15.75" customHeight="1" s="37"/>
    <row r="229" ht="15.75" customHeight="1" s="37"/>
    <row r="230" ht="15.75" customHeight="1" s="37"/>
    <row r="231" ht="15.75" customHeight="1" s="37"/>
    <row r="232" ht="15.75" customHeight="1" s="37"/>
    <row r="233" ht="15.75" customHeight="1" s="37"/>
    <row r="234" ht="15.75" customHeight="1" s="37"/>
    <row r="235" ht="15.75" customHeight="1" s="37"/>
    <row r="236" ht="15.75" customHeight="1" s="37"/>
    <row r="237" ht="15.75" customHeight="1" s="37"/>
    <row r="238" ht="15.75" customHeight="1" s="37"/>
    <row r="239" ht="15.75" customHeight="1" s="37"/>
    <row r="240" ht="15.75" customHeight="1" s="37"/>
    <row r="241" ht="15.75" customHeight="1" s="37"/>
    <row r="242" ht="15.75" customHeight="1" s="37"/>
    <row r="243" ht="15.75" customHeight="1" s="37"/>
    <row r="244" ht="15.75" customHeight="1" s="37"/>
    <row r="245" ht="15.75" customHeight="1" s="37"/>
    <row r="246" ht="15.75" customHeight="1" s="37"/>
    <row r="247" ht="15.75" customHeight="1" s="37"/>
    <row r="248" ht="15.75" customHeight="1" s="37"/>
    <row r="249" ht="15.75" customHeight="1" s="37"/>
    <row r="250" ht="15.75" customHeight="1" s="37"/>
    <row r="251" ht="15.75" customHeight="1" s="37"/>
    <row r="252" ht="15.75" customHeight="1" s="37"/>
    <row r="253" ht="15.75" customHeight="1" s="37"/>
    <row r="254" ht="15.75" customHeight="1" s="37"/>
    <row r="255" ht="15.75" customHeight="1" s="37"/>
    <row r="256" ht="15.75" customHeight="1" s="37"/>
    <row r="257" ht="15.75" customHeight="1" s="37"/>
    <row r="258" ht="15.75" customHeight="1" s="37"/>
    <row r="259" ht="15.75" customHeight="1" s="37"/>
    <row r="260" ht="15.75" customHeight="1" s="37"/>
    <row r="261" ht="15.75" customHeight="1" s="37"/>
    <row r="262" ht="15.75" customHeight="1" s="37"/>
    <row r="263" ht="15.75" customHeight="1" s="37"/>
    <row r="264" ht="15.75" customHeight="1" s="37"/>
    <row r="265" ht="15.75" customHeight="1" s="37"/>
    <row r="266" ht="15.75" customHeight="1" s="37"/>
    <row r="267" ht="15.75" customHeight="1" s="37"/>
    <row r="268" ht="15.75" customHeight="1" s="37"/>
    <row r="269" ht="15.75" customHeight="1" s="37"/>
    <row r="270" ht="15.75" customHeight="1" s="37"/>
    <row r="271" ht="15.75" customHeight="1" s="37"/>
    <row r="272" ht="15.75" customHeight="1" s="37"/>
    <row r="273" ht="15.75" customHeight="1" s="37"/>
    <row r="274" ht="15.75" customHeight="1" s="37"/>
    <row r="275" ht="15.75" customHeight="1" s="37"/>
    <row r="276" ht="15.75" customHeight="1" s="37"/>
    <row r="277" ht="15.75" customHeight="1" s="37"/>
    <row r="278" ht="15.75" customHeight="1" s="37"/>
    <row r="279" ht="15.75" customHeight="1" s="37"/>
    <row r="280" ht="15.75" customHeight="1" s="37"/>
    <row r="281" ht="15.75" customHeight="1" s="37"/>
    <row r="282" ht="15.75" customHeight="1" s="37"/>
    <row r="283" ht="15.75" customHeight="1" s="37"/>
    <row r="284" ht="15.75" customHeight="1" s="37"/>
    <row r="285" ht="15.75" customHeight="1" s="37"/>
    <row r="286" ht="15.75" customHeight="1" s="37"/>
    <row r="287" ht="15.75" customHeight="1" s="37"/>
    <row r="288" ht="15.75" customHeight="1" s="37"/>
    <row r="289" ht="15.75" customHeight="1" s="37"/>
    <row r="290" ht="15.75" customHeight="1" s="37"/>
    <row r="291" ht="15.75" customHeight="1" s="37"/>
    <row r="292" ht="15.75" customHeight="1" s="37"/>
    <row r="293" ht="15.75" customHeight="1" s="37"/>
    <row r="294" ht="15.75" customHeight="1" s="37"/>
    <row r="295" ht="15.75" customHeight="1" s="37"/>
    <row r="296" ht="15.75" customHeight="1" s="37"/>
    <row r="297" ht="15.75" customHeight="1" s="37"/>
    <row r="298" ht="15.75" customHeight="1" s="37"/>
    <row r="299" ht="15.75" customHeight="1" s="37"/>
    <row r="300" ht="15.75" customHeight="1" s="37"/>
    <row r="301" ht="15.75" customHeight="1" s="37"/>
    <row r="302" ht="15.75" customHeight="1" s="37"/>
    <row r="303" ht="15.75" customHeight="1" s="37"/>
    <row r="304" ht="15.75" customHeight="1" s="37"/>
    <row r="305" ht="15.75" customHeight="1" s="37"/>
    <row r="306" ht="15.75" customHeight="1" s="37"/>
    <row r="307" ht="15.75" customHeight="1" s="37"/>
    <row r="308" ht="15.75" customHeight="1" s="37"/>
    <row r="309" ht="15.75" customHeight="1" s="37"/>
    <row r="310" ht="15.75" customHeight="1" s="37"/>
    <row r="311" ht="15.75" customHeight="1" s="37"/>
    <row r="312" ht="15.75" customHeight="1" s="37"/>
    <row r="313" ht="15.75" customHeight="1" s="37"/>
    <row r="314" ht="15.75" customHeight="1" s="37"/>
    <row r="315" ht="15.75" customHeight="1" s="37"/>
    <row r="316" ht="15.75" customHeight="1" s="37"/>
    <row r="317" ht="15.75" customHeight="1" s="37"/>
    <row r="318" ht="15.75" customHeight="1" s="37"/>
    <row r="319" ht="15.75" customHeight="1" s="37"/>
    <row r="320" ht="15.75" customHeight="1" s="37"/>
    <row r="321" ht="15.75" customHeight="1" s="37"/>
    <row r="322" ht="15.75" customHeight="1" s="37"/>
    <row r="323" ht="15.75" customHeight="1" s="37"/>
    <row r="324" ht="15.75" customHeight="1" s="37"/>
    <row r="325" ht="15.75" customHeight="1" s="37"/>
    <row r="326" ht="15.75" customHeight="1" s="37"/>
    <row r="327" ht="15.75" customHeight="1" s="37"/>
    <row r="328" ht="15.75" customHeight="1" s="37"/>
    <row r="329" ht="15.75" customHeight="1" s="37"/>
    <row r="330" ht="15.75" customHeight="1" s="37"/>
    <row r="331" ht="15.75" customHeight="1" s="37"/>
    <row r="332" ht="15.75" customHeight="1" s="37"/>
    <row r="333" ht="15.75" customHeight="1" s="37"/>
    <row r="334" ht="15.75" customHeight="1" s="37"/>
    <row r="335" ht="15.75" customHeight="1" s="37"/>
    <row r="336" ht="15.75" customHeight="1" s="37"/>
    <row r="337" ht="15.75" customHeight="1" s="37"/>
    <row r="338" ht="15.75" customHeight="1" s="37"/>
    <row r="339" ht="15.75" customHeight="1" s="37"/>
    <row r="340" ht="15.75" customHeight="1" s="37"/>
    <row r="341" ht="15.75" customHeight="1" s="37"/>
    <row r="342" ht="15.75" customHeight="1" s="37"/>
    <row r="343" ht="15.75" customHeight="1" s="37"/>
    <row r="344" ht="15.75" customHeight="1" s="37"/>
    <row r="345" ht="15.75" customHeight="1" s="37"/>
    <row r="346" ht="15.75" customHeight="1" s="37"/>
    <row r="347" ht="15.75" customHeight="1" s="37"/>
    <row r="348" ht="15.75" customHeight="1" s="37"/>
    <row r="349" ht="15.75" customHeight="1" s="37"/>
    <row r="350" ht="15.75" customHeight="1" s="37"/>
    <row r="351" ht="15.75" customHeight="1" s="37"/>
    <row r="352" ht="15.75" customHeight="1" s="37"/>
    <row r="353" ht="15.75" customHeight="1" s="37"/>
    <row r="354" ht="15.75" customHeight="1" s="37"/>
    <row r="355" ht="15.75" customHeight="1" s="37"/>
    <row r="356" ht="15.75" customHeight="1" s="37"/>
    <row r="357" ht="15.75" customHeight="1" s="37"/>
    <row r="358" ht="15.75" customHeight="1" s="37"/>
    <row r="359" ht="15.75" customHeight="1" s="37"/>
    <row r="360" ht="15.75" customHeight="1" s="37"/>
    <row r="361" ht="15.75" customHeight="1" s="37"/>
    <row r="362" ht="15.75" customHeight="1" s="37"/>
    <row r="363" ht="15.75" customHeight="1" s="37"/>
    <row r="364" ht="15.75" customHeight="1" s="37"/>
    <row r="365" ht="15.75" customHeight="1" s="37"/>
    <row r="366" ht="15.75" customHeight="1" s="37"/>
    <row r="367" ht="15.75" customHeight="1" s="37"/>
    <row r="368" ht="15.75" customHeight="1" s="37"/>
    <row r="369" ht="15.75" customHeight="1" s="37"/>
    <row r="370" ht="15.75" customHeight="1" s="37"/>
    <row r="371" ht="15.75" customHeight="1" s="37"/>
    <row r="372" ht="15.75" customHeight="1" s="37"/>
    <row r="373" ht="15.75" customHeight="1" s="37"/>
    <row r="374" ht="15.75" customHeight="1" s="37"/>
    <row r="375" ht="15.75" customHeight="1" s="37"/>
    <row r="376" ht="15.75" customHeight="1" s="37"/>
    <row r="377" ht="15.75" customHeight="1" s="37"/>
    <row r="378" ht="15.75" customHeight="1" s="37"/>
    <row r="379" ht="15.75" customHeight="1" s="37"/>
    <row r="380" ht="15.75" customHeight="1" s="37"/>
    <row r="381" ht="15.75" customHeight="1" s="37"/>
    <row r="382" ht="15.75" customHeight="1" s="37"/>
    <row r="383" ht="15.75" customHeight="1" s="37"/>
    <row r="384" ht="15.75" customHeight="1" s="37"/>
    <row r="385" ht="15.75" customHeight="1" s="37"/>
    <row r="386" ht="15.75" customHeight="1" s="37"/>
    <row r="387" ht="15.75" customHeight="1" s="37"/>
    <row r="388" ht="15.75" customHeight="1" s="37"/>
    <row r="389" ht="15.75" customHeight="1" s="37"/>
    <row r="390" ht="15.75" customHeight="1" s="37"/>
    <row r="391" ht="15.75" customHeight="1" s="37"/>
    <row r="392" ht="15.75" customHeight="1" s="37"/>
    <row r="393" ht="15.75" customHeight="1" s="37"/>
    <row r="394" ht="15.75" customHeight="1" s="37"/>
    <row r="395" ht="15.75" customHeight="1" s="37"/>
    <row r="396" ht="15.75" customHeight="1" s="37"/>
    <row r="397" ht="15.75" customHeight="1" s="37"/>
    <row r="398" ht="15.75" customHeight="1" s="37"/>
    <row r="399" ht="15.75" customHeight="1" s="37"/>
    <row r="400" ht="15.75" customHeight="1" s="37"/>
    <row r="401" ht="15.75" customHeight="1" s="37"/>
    <row r="402" ht="15.75" customHeight="1" s="37"/>
    <row r="403" ht="15.75" customHeight="1" s="37"/>
    <row r="404" ht="15.75" customHeight="1" s="37"/>
    <row r="405" ht="15.75" customHeight="1" s="37"/>
    <row r="406" ht="15.75" customHeight="1" s="37"/>
    <row r="407" ht="15.75" customHeight="1" s="37"/>
    <row r="408" ht="15.75" customHeight="1" s="37"/>
    <row r="409" ht="15.75" customHeight="1" s="37"/>
    <row r="410" ht="15.75" customHeight="1" s="37"/>
    <row r="411" ht="15.75" customHeight="1" s="37"/>
    <row r="412" ht="15.75" customHeight="1" s="37"/>
    <row r="413" ht="15.75" customHeight="1" s="37"/>
    <row r="414" ht="15.75" customHeight="1" s="37"/>
    <row r="415" ht="15.75" customHeight="1" s="37"/>
    <row r="416" ht="15.75" customHeight="1" s="37"/>
    <row r="417" ht="15.75" customHeight="1" s="37"/>
    <row r="418" ht="15.75" customHeight="1" s="37"/>
    <row r="419" ht="15.75" customHeight="1" s="37"/>
    <row r="420" ht="15.75" customHeight="1" s="37"/>
    <row r="421" ht="15.75" customHeight="1" s="37"/>
    <row r="422" ht="15.75" customHeight="1" s="37"/>
    <row r="423" ht="15.75" customHeight="1" s="37"/>
    <row r="424" ht="15.75" customHeight="1" s="37"/>
    <row r="425" ht="15.75" customHeight="1" s="37"/>
    <row r="426" ht="15.75" customHeight="1" s="37"/>
    <row r="427" ht="15.75" customHeight="1" s="37"/>
    <row r="428" ht="15.75" customHeight="1" s="37"/>
    <row r="429" ht="15.75" customHeight="1" s="37"/>
    <row r="430" ht="15.75" customHeight="1" s="37"/>
    <row r="431" ht="15.75" customHeight="1" s="37"/>
    <row r="432" ht="15.75" customHeight="1" s="37"/>
    <row r="433" ht="15.75" customHeight="1" s="37"/>
    <row r="434" ht="15.75" customHeight="1" s="37"/>
    <row r="435" ht="15.75" customHeight="1" s="37"/>
    <row r="436" ht="15.75" customHeight="1" s="37"/>
    <row r="437" ht="15.75" customHeight="1" s="37"/>
    <row r="438" ht="15.75" customHeight="1" s="37"/>
    <row r="439" ht="15.75" customHeight="1" s="37"/>
    <row r="440" ht="15.75" customHeight="1" s="37"/>
    <row r="441" ht="15.75" customHeight="1" s="37"/>
    <row r="442" ht="15.75" customHeight="1" s="37"/>
    <row r="443" ht="15.75" customHeight="1" s="37"/>
    <row r="444" ht="15.75" customHeight="1" s="37"/>
    <row r="445" ht="15.75" customHeight="1" s="37"/>
    <row r="446" ht="15.75" customHeight="1" s="37"/>
    <row r="447" ht="15.75" customHeight="1" s="37"/>
    <row r="448" ht="15.75" customHeight="1" s="37"/>
    <row r="449" ht="15.75" customHeight="1" s="37"/>
    <row r="450" ht="15.75" customHeight="1" s="37"/>
    <row r="451" ht="15.75" customHeight="1" s="37"/>
    <row r="452" ht="15.75" customHeight="1" s="37"/>
    <row r="453" ht="15.75" customHeight="1" s="37"/>
    <row r="454" ht="15.75" customHeight="1" s="37"/>
    <row r="455" ht="15.75" customHeight="1" s="37"/>
    <row r="456" ht="15.75" customHeight="1" s="37"/>
    <row r="457" ht="15.75" customHeight="1" s="37"/>
    <row r="458" ht="15.75" customHeight="1" s="37"/>
    <row r="459" ht="15.75" customHeight="1" s="37"/>
    <row r="460" ht="15.75" customHeight="1" s="37"/>
    <row r="461" ht="15.75" customHeight="1" s="37"/>
    <row r="462" ht="15.75" customHeight="1" s="37"/>
    <row r="463" ht="15.75" customHeight="1" s="37"/>
    <row r="464" ht="15.75" customHeight="1" s="37"/>
    <row r="465" ht="15.75" customHeight="1" s="37"/>
    <row r="466" ht="15.75" customHeight="1" s="37"/>
    <row r="467" ht="15.75" customHeight="1" s="37"/>
    <row r="468" ht="15.75" customHeight="1" s="37"/>
    <row r="469" ht="15.75" customHeight="1" s="37"/>
    <row r="470" ht="15.75" customHeight="1" s="37"/>
    <row r="471" ht="15.75" customHeight="1" s="37"/>
    <row r="472" ht="15.75" customHeight="1" s="37"/>
    <row r="473" ht="15.75" customHeight="1" s="37"/>
    <row r="474" ht="15.75" customHeight="1" s="37"/>
    <row r="475" ht="15.75" customHeight="1" s="37"/>
    <row r="476" ht="15.75" customHeight="1" s="37"/>
    <row r="477" ht="15.75" customHeight="1" s="37"/>
    <row r="478" ht="15.75" customHeight="1" s="37"/>
    <row r="479" ht="15.75" customHeight="1" s="37"/>
    <row r="480" ht="15.75" customHeight="1" s="37"/>
    <row r="481" ht="15.75" customHeight="1" s="37"/>
    <row r="482" ht="15.75" customHeight="1" s="37"/>
    <row r="483" ht="15.75" customHeight="1" s="37"/>
    <row r="484" ht="15.75" customHeight="1" s="37"/>
    <row r="485" ht="15.75" customHeight="1" s="37"/>
    <row r="486" ht="15.75" customHeight="1" s="37"/>
    <row r="487" ht="15.75" customHeight="1" s="37"/>
    <row r="488" ht="15.75" customHeight="1" s="37"/>
    <row r="489" ht="15.75" customHeight="1" s="37"/>
    <row r="490" ht="15.75" customHeight="1" s="37"/>
    <row r="491" ht="15.75" customHeight="1" s="37"/>
    <row r="492" ht="15.75" customHeight="1" s="37"/>
    <row r="493" ht="15.75" customHeight="1" s="37"/>
    <row r="494" ht="15.75" customHeight="1" s="37"/>
    <row r="495" ht="15.75" customHeight="1" s="37"/>
    <row r="496" ht="15.75" customHeight="1" s="37"/>
    <row r="497" ht="15.75" customHeight="1" s="37"/>
    <row r="498" ht="15.75" customHeight="1" s="37"/>
    <row r="499" ht="15.75" customHeight="1" s="37"/>
    <row r="500" ht="15.75" customHeight="1" s="37"/>
    <row r="501" ht="15.75" customHeight="1" s="37"/>
    <row r="502" ht="15.75" customHeight="1" s="37"/>
    <row r="503" ht="15.75" customHeight="1" s="37"/>
    <row r="504" ht="15.75" customHeight="1" s="37"/>
    <row r="505" ht="15.75" customHeight="1" s="37"/>
    <row r="506" ht="15.75" customHeight="1" s="37"/>
    <row r="507" ht="15.75" customHeight="1" s="37"/>
    <row r="508" ht="15.75" customHeight="1" s="37"/>
    <row r="509" ht="15.75" customHeight="1" s="37"/>
    <row r="510" ht="15.75" customHeight="1" s="37"/>
    <row r="511" ht="15.75" customHeight="1" s="37"/>
    <row r="512" ht="15.75" customHeight="1" s="37"/>
    <row r="513" ht="15.75" customHeight="1" s="37"/>
    <row r="514" ht="15.75" customHeight="1" s="37"/>
    <row r="515" ht="15.75" customHeight="1" s="37"/>
    <row r="516" ht="15.75" customHeight="1" s="37"/>
    <row r="517" ht="15.75" customHeight="1" s="37"/>
    <row r="518" ht="15.75" customHeight="1" s="37"/>
    <row r="519" ht="15.75" customHeight="1" s="37"/>
    <row r="520" ht="15.75" customHeight="1" s="37"/>
    <row r="521" ht="15.75" customHeight="1" s="37"/>
    <row r="522" ht="15.75" customHeight="1" s="37"/>
    <row r="523" ht="15.75" customHeight="1" s="37"/>
    <row r="524" ht="15.75" customHeight="1" s="37"/>
    <row r="525" ht="15.75" customHeight="1" s="37"/>
    <row r="526" ht="15.75" customHeight="1" s="37"/>
    <row r="527" ht="15.75" customHeight="1" s="37"/>
    <row r="528" ht="15.75" customHeight="1" s="37"/>
    <row r="529" ht="15.75" customHeight="1" s="37"/>
    <row r="530" ht="15.75" customHeight="1" s="37"/>
    <row r="531" ht="15.75" customHeight="1" s="37"/>
    <row r="532" ht="15.75" customHeight="1" s="37"/>
    <row r="533" ht="15.75" customHeight="1" s="37"/>
    <row r="534" ht="15.75" customHeight="1" s="37"/>
    <row r="535" ht="15.75" customHeight="1" s="37"/>
    <row r="536" ht="15.75" customHeight="1" s="37"/>
    <row r="537" ht="15.75" customHeight="1" s="37"/>
    <row r="538" ht="15.75" customHeight="1" s="37"/>
    <row r="539" ht="15.75" customHeight="1" s="37"/>
    <row r="540" ht="15.75" customHeight="1" s="37"/>
    <row r="541" ht="15.75" customHeight="1" s="37"/>
    <row r="542" ht="15.75" customHeight="1" s="37"/>
    <row r="543" ht="15.75" customHeight="1" s="37"/>
    <row r="544" ht="15.75" customHeight="1" s="37"/>
    <row r="545" ht="15.75" customHeight="1" s="37"/>
    <row r="546" ht="15.75" customHeight="1" s="37"/>
    <row r="547" ht="15.75" customHeight="1" s="37"/>
    <row r="548" ht="15.75" customHeight="1" s="37"/>
    <row r="549" ht="15.75" customHeight="1" s="37"/>
    <row r="550" ht="15.75" customHeight="1" s="37"/>
    <row r="551" ht="15.75" customHeight="1" s="37"/>
    <row r="552" ht="15.75" customHeight="1" s="37"/>
    <row r="553" ht="15.75" customHeight="1" s="37"/>
    <row r="554" ht="15.75" customHeight="1" s="37"/>
    <row r="555" ht="15.75" customHeight="1" s="37"/>
    <row r="556" ht="15.75" customHeight="1" s="37"/>
    <row r="557" ht="15.75" customHeight="1" s="37"/>
    <row r="558" ht="15.75" customHeight="1" s="37"/>
    <row r="559" ht="15.75" customHeight="1" s="37"/>
    <row r="560" ht="15.75" customHeight="1" s="37"/>
    <row r="561" ht="15.75" customHeight="1" s="37"/>
    <row r="562" ht="15.75" customHeight="1" s="37"/>
    <row r="563" ht="15.75" customHeight="1" s="37"/>
    <row r="564" ht="15.75" customHeight="1" s="37"/>
    <row r="565" ht="15.75" customHeight="1" s="37"/>
    <row r="566" ht="15.75" customHeight="1" s="37"/>
    <row r="567" ht="15.75" customHeight="1" s="37"/>
    <row r="568" ht="15.75" customHeight="1" s="37"/>
    <row r="569" ht="15.75" customHeight="1" s="37"/>
    <row r="570" ht="15.75" customHeight="1" s="37"/>
    <row r="571" ht="15.75" customHeight="1" s="37"/>
    <row r="572" ht="15.75" customHeight="1" s="37"/>
    <row r="573" ht="15.75" customHeight="1" s="37"/>
    <row r="574" ht="15.75" customHeight="1" s="37"/>
    <row r="575" ht="15.75" customHeight="1" s="37"/>
    <row r="576" ht="15.75" customHeight="1" s="37"/>
    <row r="577" ht="15.75" customHeight="1" s="37"/>
    <row r="578" ht="15.75" customHeight="1" s="37"/>
    <row r="579" ht="15.75" customHeight="1" s="37"/>
    <row r="580" ht="15.75" customHeight="1" s="37"/>
    <row r="581" ht="15.75" customHeight="1" s="37"/>
    <row r="582" ht="15.75" customHeight="1" s="37"/>
    <row r="583" ht="15.75" customHeight="1" s="37"/>
    <row r="584" ht="15.75" customHeight="1" s="37"/>
    <row r="585" ht="15.75" customHeight="1" s="37"/>
    <row r="586" ht="15.75" customHeight="1" s="37"/>
    <row r="587" ht="15.75" customHeight="1" s="37"/>
    <row r="588" ht="15.75" customHeight="1" s="37"/>
    <row r="589" ht="15.75" customHeight="1" s="37"/>
    <row r="590" ht="15.75" customHeight="1" s="37"/>
    <row r="591" ht="15.75" customHeight="1" s="37"/>
    <row r="592" ht="15.75" customHeight="1" s="37"/>
    <row r="593" ht="15.75" customHeight="1" s="37"/>
    <row r="594" ht="15.75" customHeight="1" s="37"/>
    <row r="595" ht="15.75" customHeight="1" s="37"/>
    <row r="596" ht="15.75" customHeight="1" s="37"/>
    <row r="597" ht="15.75" customHeight="1" s="37"/>
    <row r="598" ht="15.75" customHeight="1" s="37"/>
    <row r="599" ht="15.75" customHeight="1" s="37"/>
    <row r="600" ht="15.75" customHeight="1" s="37"/>
    <row r="601" ht="15.75" customHeight="1" s="37"/>
    <row r="602" ht="15.75" customHeight="1" s="37"/>
    <row r="603" ht="15.75" customHeight="1" s="37"/>
    <row r="604" ht="15.75" customHeight="1" s="37"/>
    <row r="605" ht="15.75" customHeight="1" s="37"/>
    <row r="606" ht="15.75" customHeight="1" s="37"/>
    <row r="607" ht="15.75" customHeight="1" s="37"/>
    <row r="608" ht="15.75" customHeight="1" s="37"/>
    <row r="609" ht="15.75" customHeight="1" s="37"/>
    <row r="610" ht="15.75" customHeight="1" s="37"/>
    <row r="611" ht="15.75" customHeight="1" s="37"/>
    <row r="612" ht="15.75" customHeight="1" s="37"/>
    <row r="613" ht="15.75" customHeight="1" s="37"/>
    <row r="614" ht="15.75" customHeight="1" s="37"/>
    <row r="615" ht="15.75" customHeight="1" s="37"/>
    <row r="616" ht="15.75" customHeight="1" s="37"/>
    <row r="617" ht="15.75" customHeight="1" s="37"/>
    <row r="618" ht="15.75" customHeight="1" s="37"/>
    <row r="619" ht="15.75" customHeight="1" s="37"/>
    <row r="620" ht="15.75" customHeight="1" s="37"/>
    <row r="621" ht="15.75" customHeight="1" s="37"/>
    <row r="622" ht="15.75" customHeight="1" s="37"/>
    <row r="623" ht="15.75" customHeight="1" s="37"/>
    <row r="624" ht="15.75" customHeight="1" s="37"/>
    <row r="625" ht="15.75" customHeight="1" s="37"/>
    <row r="626" ht="15.75" customHeight="1" s="37"/>
    <row r="627" ht="15.75" customHeight="1" s="37"/>
    <row r="628" ht="15.75" customHeight="1" s="37"/>
    <row r="629" ht="15.75" customHeight="1" s="37"/>
    <row r="630" ht="15.75" customHeight="1" s="37"/>
    <row r="631" ht="15.75" customHeight="1" s="37"/>
    <row r="632" ht="15.75" customHeight="1" s="37"/>
    <row r="633" ht="15.75" customHeight="1" s="37"/>
    <row r="634" ht="15.75" customHeight="1" s="37"/>
    <row r="635" ht="15.75" customHeight="1" s="37"/>
    <row r="636" ht="15.75" customHeight="1" s="37"/>
    <row r="637" ht="15.75" customHeight="1" s="37"/>
    <row r="638" ht="15.75" customHeight="1" s="37"/>
    <row r="639" ht="15.75" customHeight="1" s="37"/>
    <row r="640" ht="15.75" customHeight="1" s="37"/>
    <row r="641" ht="15.75" customHeight="1" s="37"/>
    <row r="642" ht="15.75" customHeight="1" s="37"/>
    <row r="643" ht="15.75" customHeight="1" s="37"/>
    <row r="644" ht="15.75" customHeight="1" s="37"/>
    <row r="645" ht="15.75" customHeight="1" s="37"/>
    <row r="646" ht="15.75" customHeight="1" s="37"/>
    <row r="647" ht="15.75" customHeight="1" s="37"/>
    <row r="648" ht="15.75" customHeight="1" s="37"/>
    <row r="649" ht="15.75" customHeight="1" s="37"/>
    <row r="650" ht="15.75" customHeight="1" s="37"/>
    <row r="651" ht="15.75" customHeight="1" s="37"/>
    <row r="652" ht="15.75" customHeight="1" s="37"/>
    <row r="653" ht="15.75" customHeight="1" s="37"/>
    <row r="654" ht="15.75" customHeight="1" s="37"/>
    <row r="655" ht="15.75" customHeight="1" s="37"/>
    <row r="656" ht="15.75" customHeight="1" s="37"/>
    <row r="657" ht="15.75" customHeight="1" s="37"/>
    <row r="658" ht="15.75" customHeight="1" s="37"/>
    <row r="659" ht="15.75" customHeight="1" s="37"/>
    <row r="660" ht="15.75" customHeight="1" s="37"/>
    <row r="661" ht="15.75" customHeight="1" s="37"/>
    <row r="662" ht="15.75" customHeight="1" s="37"/>
    <row r="663" ht="15.75" customHeight="1" s="37"/>
    <row r="664" ht="15.75" customHeight="1" s="37"/>
    <row r="665" ht="15.75" customHeight="1" s="37"/>
    <row r="666" ht="15.75" customHeight="1" s="37"/>
    <row r="667" ht="15.75" customHeight="1" s="37"/>
    <row r="668" ht="15.75" customHeight="1" s="37"/>
    <row r="669" ht="15.75" customHeight="1" s="37"/>
    <row r="670" ht="15.75" customHeight="1" s="37"/>
    <row r="671" ht="15.75" customHeight="1" s="37"/>
    <row r="672" ht="15.75" customHeight="1" s="37"/>
    <row r="673" ht="15.75" customHeight="1" s="37"/>
    <row r="674" ht="15.75" customHeight="1" s="37"/>
    <row r="675" ht="15.75" customHeight="1" s="37"/>
    <row r="676" ht="15.75" customHeight="1" s="37"/>
    <row r="677" ht="15.75" customHeight="1" s="37"/>
    <row r="678" ht="15.75" customHeight="1" s="37"/>
    <row r="679" ht="15.75" customHeight="1" s="37"/>
    <row r="680" ht="15.75" customHeight="1" s="37"/>
    <row r="681" ht="15.75" customHeight="1" s="37"/>
    <row r="682" ht="15.75" customHeight="1" s="37"/>
    <row r="683" ht="15.75" customHeight="1" s="37"/>
    <row r="684" ht="15.75" customHeight="1" s="37"/>
    <row r="685" ht="15.75" customHeight="1" s="37"/>
    <row r="686" ht="15.75" customHeight="1" s="37"/>
    <row r="687" ht="15.75" customHeight="1" s="37"/>
    <row r="688" ht="15.75" customHeight="1" s="37"/>
    <row r="689" ht="15.75" customHeight="1" s="37"/>
    <row r="690" ht="15.75" customHeight="1" s="37"/>
    <row r="691" ht="15.75" customHeight="1" s="37"/>
    <row r="692" ht="15.75" customHeight="1" s="37"/>
    <row r="693" ht="15.75" customHeight="1" s="37"/>
    <row r="694" ht="15.75" customHeight="1" s="37"/>
    <row r="695" ht="15.75" customHeight="1" s="37"/>
    <row r="696" ht="15.75" customHeight="1" s="37"/>
    <row r="697" ht="15.75" customHeight="1" s="37"/>
    <row r="698" ht="15.75" customHeight="1" s="37"/>
    <row r="699" ht="15.75" customHeight="1" s="37"/>
    <row r="700" ht="15.75" customHeight="1" s="37"/>
    <row r="701" ht="15.75" customHeight="1" s="37"/>
    <row r="702" ht="15.75" customHeight="1" s="37"/>
    <row r="703" ht="15.75" customHeight="1" s="37"/>
    <row r="704" ht="15.75" customHeight="1" s="37"/>
    <row r="705" ht="15.75" customHeight="1" s="37"/>
    <row r="706" ht="15.75" customHeight="1" s="37"/>
    <row r="707" ht="15.75" customHeight="1" s="37"/>
    <row r="708" ht="15.75" customHeight="1" s="37"/>
    <row r="709" ht="15.75" customHeight="1" s="37"/>
    <row r="710" ht="15.75" customHeight="1" s="37"/>
    <row r="711" ht="15.75" customHeight="1" s="37"/>
    <row r="712" ht="15.75" customHeight="1" s="37"/>
    <row r="713" ht="15.75" customHeight="1" s="37"/>
    <row r="714" ht="15.75" customHeight="1" s="37"/>
    <row r="715" ht="15.75" customHeight="1" s="37"/>
    <row r="716" ht="15.75" customHeight="1" s="37"/>
    <row r="717" ht="15.75" customHeight="1" s="37"/>
    <row r="718" ht="15.75" customHeight="1" s="37"/>
    <row r="719" ht="15.75" customHeight="1" s="37"/>
    <row r="720" ht="15.75" customHeight="1" s="37"/>
    <row r="721" ht="15.75" customHeight="1" s="37"/>
    <row r="722" ht="15.75" customHeight="1" s="37"/>
    <row r="723" ht="15.75" customHeight="1" s="37"/>
    <row r="724" ht="15.75" customHeight="1" s="37"/>
    <row r="725" ht="15.75" customHeight="1" s="37"/>
    <row r="726" ht="15.75" customHeight="1" s="37"/>
    <row r="727" ht="15.75" customHeight="1" s="37"/>
    <row r="728" ht="15.75" customHeight="1" s="37"/>
    <row r="729" ht="15.75" customHeight="1" s="37"/>
    <row r="730" ht="15.75" customHeight="1" s="37"/>
    <row r="731" ht="15.75" customHeight="1" s="37"/>
    <row r="732" ht="15.75" customHeight="1" s="37"/>
    <row r="733" ht="15.75" customHeight="1" s="37"/>
    <row r="734" ht="15.75" customHeight="1" s="37"/>
    <row r="735" ht="15.75" customHeight="1" s="37"/>
    <row r="736" ht="15.75" customHeight="1" s="37"/>
    <row r="737" ht="15.75" customHeight="1" s="37"/>
    <row r="738" ht="15.75" customHeight="1" s="37"/>
    <row r="739" ht="15.75" customHeight="1" s="37"/>
    <row r="740" ht="15.75" customHeight="1" s="37"/>
    <row r="741" ht="15.75" customHeight="1" s="37"/>
    <row r="742" ht="15.75" customHeight="1" s="37"/>
    <row r="743" ht="15.75" customHeight="1" s="37"/>
    <row r="744" ht="15.75" customHeight="1" s="37"/>
    <row r="745" ht="15.75" customHeight="1" s="37"/>
    <row r="746" ht="15.75" customHeight="1" s="37"/>
    <row r="747" ht="15.75" customHeight="1" s="37"/>
    <row r="748" ht="15.75" customHeight="1" s="37"/>
    <row r="749" ht="15.75" customHeight="1" s="37"/>
    <row r="750" ht="15.75" customHeight="1" s="37"/>
    <row r="751" ht="15.75" customHeight="1" s="37"/>
    <row r="752" ht="15.75" customHeight="1" s="37"/>
    <row r="753" ht="15.75" customHeight="1" s="37"/>
    <row r="754" ht="15.75" customHeight="1" s="37"/>
    <row r="755" ht="15.75" customHeight="1" s="37"/>
    <row r="756" ht="15.75" customHeight="1" s="37"/>
    <row r="757" ht="15.75" customHeight="1" s="37"/>
    <row r="758" ht="15.75" customHeight="1" s="37"/>
    <row r="759" ht="15.75" customHeight="1" s="37"/>
    <row r="760" ht="15.75" customHeight="1" s="37"/>
    <row r="761" ht="15.75" customHeight="1" s="37"/>
    <row r="762" ht="15.75" customHeight="1" s="37"/>
    <row r="763" ht="15.75" customHeight="1" s="37"/>
    <row r="764" ht="15.75" customHeight="1" s="37"/>
    <row r="765" ht="15.75" customHeight="1" s="37"/>
    <row r="766" ht="15.75" customHeight="1" s="37"/>
    <row r="767" ht="15.75" customHeight="1" s="37"/>
    <row r="768" ht="15.75" customHeight="1" s="37"/>
    <row r="769" ht="15.75" customHeight="1" s="37"/>
    <row r="770" ht="15.75" customHeight="1" s="37"/>
    <row r="771" ht="15.75" customHeight="1" s="37"/>
    <row r="772" ht="15.75" customHeight="1" s="37"/>
    <row r="773" ht="15.75" customHeight="1" s="37"/>
    <row r="774" ht="15.75" customHeight="1" s="37"/>
    <row r="775" ht="15.75" customHeight="1" s="37"/>
    <row r="776" ht="15.75" customHeight="1" s="37"/>
    <row r="777" ht="15.75" customHeight="1" s="37"/>
    <row r="778" ht="15.75" customHeight="1" s="37"/>
    <row r="779" ht="15.75" customHeight="1" s="37"/>
    <row r="780" ht="15.75" customHeight="1" s="37"/>
    <row r="781" ht="15.75" customHeight="1" s="37"/>
    <row r="782" ht="15.75" customHeight="1" s="37"/>
    <row r="783" ht="15.75" customHeight="1" s="37"/>
    <row r="784" ht="15.75" customHeight="1" s="37"/>
    <row r="785" ht="15.75" customHeight="1" s="37"/>
    <row r="786" ht="15.75" customHeight="1" s="37"/>
    <row r="787" ht="15.75" customHeight="1" s="37"/>
    <row r="788" ht="15.75" customHeight="1" s="37"/>
    <row r="789" ht="15.75" customHeight="1" s="37"/>
    <row r="790" ht="15.75" customHeight="1" s="37"/>
    <row r="791" ht="15.75" customHeight="1" s="37"/>
    <row r="792" ht="15.75" customHeight="1" s="37"/>
    <row r="793" ht="15.75" customHeight="1" s="37"/>
    <row r="794" ht="15.75" customHeight="1" s="37"/>
    <row r="795" ht="15.75" customHeight="1" s="37"/>
    <row r="796" ht="15.75" customHeight="1" s="37"/>
    <row r="797" ht="15.75" customHeight="1" s="37"/>
    <row r="798" ht="15.75" customHeight="1" s="37"/>
    <row r="799" ht="15.75" customHeight="1" s="37"/>
    <row r="800" ht="15.75" customHeight="1" s="37"/>
    <row r="801" ht="15.75" customHeight="1" s="37"/>
    <row r="802" ht="15.75" customHeight="1" s="37"/>
    <row r="803" ht="15.75" customHeight="1" s="37"/>
    <row r="804" ht="15.75" customHeight="1" s="37"/>
    <row r="805" ht="15.75" customHeight="1" s="37"/>
    <row r="806" ht="15.75" customHeight="1" s="37"/>
    <row r="807" ht="15.75" customHeight="1" s="37"/>
    <row r="808" ht="15.75" customHeight="1" s="37"/>
    <row r="809" ht="15.75" customHeight="1" s="37"/>
    <row r="810" ht="15.75" customHeight="1" s="37"/>
    <row r="811" ht="15.75" customHeight="1" s="37"/>
    <row r="812" ht="15.75" customHeight="1" s="37"/>
    <row r="813" ht="15.75" customHeight="1" s="37"/>
    <row r="814" ht="15.75" customHeight="1" s="37"/>
    <row r="815" ht="15.75" customHeight="1" s="37"/>
    <row r="816" ht="15.75" customHeight="1" s="37"/>
    <row r="817" ht="15.75" customHeight="1" s="37"/>
    <row r="818" ht="15.75" customHeight="1" s="37"/>
    <row r="819" ht="15.75" customHeight="1" s="37"/>
    <row r="820" ht="15.75" customHeight="1" s="37"/>
    <row r="821" ht="15.75" customHeight="1" s="37"/>
    <row r="822" ht="15.75" customHeight="1" s="37"/>
    <row r="823" ht="15.75" customHeight="1" s="37"/>
    <row r="824" ht="15.75" customHeight="1" s="37"/>
    <row r="825" ht="15.75" customHeight="1" s="37"/>
    <row r="826" ht="15.75" customHeight="1" s="37"/>
    <row r="827" ht="15.75" customHeight="1" s="37"/>
    <row r="828" ht="15.75" customHeight="1" s="37"/>
    <row r="829" ht="15.75" customHeight="1" s="37"/>
    <row r="830" ht="15.75" customHeight="1" s="37"/>
    <row r="831" ht="15.75" customHeight="1" s="37"/>
    <row r="832" ht="15.75" customHeight="1" s="37"/>
    <row r="833" ht="15.75" customHeight="1" s="37"/>
    <row r="834" ht="15.75" customHeight="1" s="37"/>
    <row r="835" ht="15.75" customHeight="1" s="37"/>
    <row r="836" ht="15.75" customHeight="1" s="37"/>
    <row r="837" ht="15.75" customHeight="1" s="37"/>
    <row r="838" ht="15.75" customHeight="1" s="37"/>
    <row r="839" ht="15.75" customHeight="1" s="37"/>
    <row r="840" ht="15.75" customHeight="1" s="37"/>
    <row r="841" ht="15.75" customHeight="1" s="37"/>
    <row r="842" ht="15.75" customHeight="1" s="37"/>
    <row r="843" ht="15.75" customHeight="1" s="37"/>
    <row r="844" ht="15.75" customHeight="1" s="37"/>
    <row r="845" ht="15.75" customHeight="1" s="37"/>
    <row r="846" ht="15.75" customHeight="1" s="37"/>
    <row r="847" ht="15.75" customHeight="1" s="37"/>
    <row r="848" ht="15.75" customHeight="1" s="37"/>
    <row r="849" ht="15.75" customHeight="1" s="37"/>
    <row r="850" ht="15.75" customHeight="1" s="37"/>
    <row r="851" ht="15.75" customHeight="1" s="37"/>
    <row r="852" ht="15.75" customHeight="1" s="37"/>
    <row r="853" ht="15.75" customHeight="1" s="37"/>
    <row r="854" ht="15.75" customHeight="1" s="37"/>
    <row r="855" ht="15.75" customHeight="1" s="37"/>
    <row r="856" ht="15.75" customHeight="1" s="37"/>
    <row r="857" ht="15.75" customHeight="1" s="37"/>
    <row r="858" ht="15.75" customHeight="1" s="37"/>
    <row r="859" ht="15.75" customHeight="1" s="37"/>
    <row r="860" ht="15.75" customHeight="1" s="37"/>
    <row r="861" ht="15.75" customHeight="1" s="37"/>
    <row r="862" ht="15.75" customHeight="1" s="37"/>
    <row r="863" ht="15.75" customHeight="1" s="37"/>
    <row r="864" ht="15.75" customHeight="1" s="37"/>
    <row r="865" ht="15.75" customHeight="1" s="37"/>
    <row r="866" ht="15.75" customHeight="1" s="37"/>
    <row r="867" ht="15.75" customHeight="1" s="37"/>
    <row r="868" ht="15.75" customHeight="1" s="37"/>
    <row r="869" ht="15.75" customHeight="1" s="37"/>
    <row r="870" ht="15.75" customHeight="1" s="37"/>
    <row r="871" ht="15.75" customHeight="1" s="37"/>
    <row r="872" ht="15.75" customHeight="1" s="37"/>
    <row r="873" ht="15.75" customHeight="1" s="37"/>
    <row r="874" ht="15.75" customHeight="1" s="37"/>
    <row r="875" ht="15.75" customHeight="1" s="37"/>
    <row r="876" ht="15.75" customHeight="1" s="37"/>
    <row r="877" ht="15.75" customHeight="1" s="37"/>
    <row r="878" ht="15.75" customHeight="1" s="37"/>
    <row r="879" ht="15.75" customHeight="1" s="37"/>
    <row r="880" ht="15.75" customHeight="1" s="37"/>
    <row r="881" ht="15.75" customHeight="1" s="37"/>
    <row r="882" ht="15.75" customHeight="1" s="37"/>
    <row r="883" ht="15.75" customHeight="1" s="37"/>
    <row r="884" ht="15.75" customHeight="1" s="37"/>
    <row r="885" ht="15.75" customHeight="1" s="37"/>
    <row r="886" ht="15.75" customHeight="1" s="37"/>
    <row r="887" ht="15.75" customHeight="1" s="37"/>
    <row r="888" ht="15.75" customHeight="1" s="37"/>
    <row r="889" ht="15.75" customHeight="1" s="37"/>
    <row r="890" ht="15.75" customHeight="1" s="37"/>
    <row r="891" ht="15.75" customHeight="1" s="37"/>
    <row r="892" ht="15.75" customHeight="1" s="37"/>
    <row r="893" ht="15.75" customHeight="1" s="37"/>
    <row r="894" ht="15.75" customHeight="1" s="37"/>
    <row r="895" ht="15.75" customHeight="1" s="37"/>
    <row r="896" ht="15.75" customHeight="1" s="37"/>
    <row r="897" ht="15.75" customHeight="1" s="37"/>
    <row r="898" ht="15.75" customHeight="1" s="37"/>
    <row r="899" ht="15.75" customHeight="1" s="37"/>
    <row r="900" ht="15.75" customHeight="1" s="37"/>
    <row r="901" ht="15.75" customHeight="1" s="37"/>
    <row r="902" ht="15.75" customHeight="1" s="37"/>
    <row r="903" ht="15.75" customHeight="1" s="37"/>
    <row r="904" ht="15.75" customHeight="1" s="37"/>
    <row r="905" ht="15.75" customHeight="1" s="37"/>
    <row r="906" ht="15.75" customHeight="1" s="37"/>
    <row r="907" ht="15.75" customHeight="1" s="37"/>
    <row r="908" ht="15.75" customHeight="1" s="37"/>
    <row r="909" ht="15.75" customHeight="1" s="37"/>
    <row r="910" ht="15.75" customHeight="1" s="37"/>
    <row r="911" ht="15.75" customHeight="1" s="37"/>
    <row r="912" ht="15.75" customHeight="1" s="37"/>
    <row r="913" ht="15.75" customHeight="1" s="37"/>
    <row r="914" ht="15.75" customHeight="1" s="37"/>
    <row r="915" ht="15.75" customHeight="1" s="37"/>
    <row r="916" ht="15.75" customHeight="1" s="37"/>
    <row r="917" ht="15.75" customHeight="1" s="37"/>
    <row r="918" ht="15.75" customHeight="1" s="37"/>
    <row r="919" ht="15.75" customHeight="1" s="37"/>
    <row r="920" ht="15.75" customHeight="1" s="37"/>
    <row r="921" ht="15.75" customHeight="1" s="37"/>
    <row r="922" ht="15.75" customHeight="1" s="37"/>
    <row r="923" ht="15.75" customHeight="1" s="37"/>
    <row r="924" ht="15.75" customHeight="1" s="37"/>
    <row r="925" ht="15.75" customHeight="1" s="37"/>
    <row r="926" ht="15.75" customHeight="1" s="37"/>
    <row r="927" ht="15.75" customHeight="1" s="37"/>
    <row r="928" ht="15.75" customHeight="1" s="37"/>
    <row r="929" ht="15.75" customHeight="1" s="37"/>
    <row r="930" ht="15.75" customHeight="1" s="37"/>
    <row r="931" ht="15.75" customHeight="1" s="37"/>
    <row r="932" ht="15.75" customHeight="1" s="37"/>
    <row r="933" ht="15.75" customHeight="1" s="37"/>
    <row r="934" ht="15.75" customHeight="1" s="37"/>
    <row r="935" ht="15.75" customHeight="1" s="37"/>
    <row r="936" ht="15.75" customHeight="1" s="37"/>
    <row r="937" ht="15.75" customHeight="1" s="37"/>
    <row r="938" ht="15.75" customHeight="1" s="37"/>
    <row r="939" ht="15.75" customHeight="1" s="37"/>
    <row r="940" ht="15.75" customHeight="1" s="37"/>
    <row r="941" ht="15.75" customHeight="1" s="37"/>
    <row r="942" ht="15.75" customHeight="1" s="37"/>
    <row r="943" ht="15.75" customHeight="1" s="37"/>
    <row r="944" ht="15.75" customHeight="1" s="37"/>
    <row r="945" ht="15.75" customHeight="1" s="37"/>
    <row r="946" ht="15.75" customHeight="1" s="37"/>
    <row r="947" ht="15.75" customHeight="1" s="37"/>
    <row r="948" ht="15.75" customHeight="1" s="37"/>
    <row r="949" ht="15.75" customHeight="1" s="37"/>
    <row r="950" ht="15.75" customHeight="1" s="37"/>
    <row r="951" ht="15.75" customHeight="1" s="37"/>
    <row r="952" ht="15.75" customHeight="1" s="37"/>
    <row r="953" ht="15.75" customHeight="1" s="37"/>
    <row r="954" ht="15.75" customHeight="1" s="37"/>
    <row r="955" ht="15.75" customHeight="1" s="37"/>
    <row r="956" ht="15.75" customHeight="1" s="37"/>
    <row r="957" ht="15.75" customHeight="1" s="37"/>
    <row r="958" ht="15.75" customHeight="1" s="37"/>
    <row r="959" ht="15.75" customHeight="1" s="37"/>
    <row r="960" ht="15.75" customHeight="1" s="37"/>
    <row r="961" ht="15.75" customHeight="1" s="37"/>
    <row r="962" ht="15.75" customHeight="1" s="37"/>
    <row r="963" ht="15.75" customHeight="1" s="37"/>
    <row r="964" ht="15.75" customHeight="1" s="37"/>
    <row r="965" ht="15.75" customHeight="1" s="37"/>
    <row r="966" ht="15.75" customHeight="1" s="37"/>
    <row r="967" ht="15.75" customHeight="1" s="37"/>
    <row r="968" ht="15.75" customHeight="1" s="37"/>
    <row r="969" ht="15.75" customHeight="1" s="37"/>
    <row r="970" ht="15.75" customHeight="1" s="37"/>
    <row r="971" ht="15.75" customHeight="1" s="37"/>
    <row r="972" ht="15.75" customHeight="1" s="37"/>
    <row r="973" ht="15.75" customHeight="1" s="37"/>
    <row r="974" ht="15.75" customHeight="1" s="37"/>
    <row r="975" ht="15.75" customHeight="1" s="37"/>
    <row r="976" ht="15.75" customHeight="1" s="37"/>
    <row r="977" ht="15.75" customHeight="1" s="37"/>
    <row r="978" ht="15.75" customHeight="1" s="37"/>
    <row r="979" ht="15.75" customHeight="1" s="37"/>
    <row r="980" ht="15.75" customHeight="1" s="37"/>
    <row r="981" ht="15.75" customHeight="1" s="37"/>
    <row r="982" ht="15.75" customHeight="1" s="37"/>
    <row r="983" ht="15.75" customHeight="1" s="37"/>
    <row r="984" ht="15.75" customHeight="1" s="37"/>
    <row r="985" ht="15.75" customHeight="1" s="37"/>
    <row r="986" ht="15.75" customHeight="1" s="37"/>
    <row r="987" ht="15.75" customHeight="1" s="37"/>
    <row r="988" ht="15.75" customHeight="1" s="37"/>
    <row r="989" ht="15.75" customHeight="1" s="37"/>
    <row r="990" ht="15.75" customHeight="1" s="37"/>
    <row r="991" ht="15.75" customHeight="1" s="37"/>
    <row r="992" ht="15.75" customHeight="1" s="37"/>
    <row r="993" ht="15.75" customHeight="1" s="37"/>
    <row r="994" ht="15.75" customHeight="1" s="37"/>
    <row r="995" ht="15.75" customHeight="1" s="37"/>
    <row r="996" ht="15.75" customHeight="1" s="37"/>
    <row r="997" ht="15.75" customHeight="1" s="37"/>
    <row r="998" ht="15.75" customHeight="1" s="37"/>
    <row r="999" ht="15.75" customHeight="1" s="37"/>
    <row r="1000" ht="15.75" customHeight="1" s="37"/>
  </sheetData>
  <autoFilter ref="A1:X15"/>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Chetan Choudhari</dc:creator>
  <dcterms:created xmlns:dcterms="http://purl.org/dc/terms/" xmlns:xsi="http://www.w3.org/2001/XMLSchema-instance" xsi:type="dcterms:W3CDTF">2025-06-18T23:01:06Z</dcterms:created>
  <dcterms:modified xmlns:dcterms="http://purl.org/dc/terms/" xmlns:xsi="http://www.w3.org/2001/XMLSchema-instance" xsi:type="dcterms:W3CDTF">2026-08-28T17:13:08Z</dcterms:modified>
  <cp:lastModifiedBy>Sepulveda.ext, Javier</cp:lastModifiedBy>
</cp:coreProperties>
</file>

<file path=docProps/custom.xml><?xml version="1.0" encoding="utf-8"?>
<Properties xmlns="http://schemas.openxmlformats.org/officeDocument/2006/custom-properties">
  <property name="MSIP_Label_19e68092-05df-4271-8e3e-b2a4c82ba797_Enabled" fmtid="{D5CDD505-2E9C-101B-9397-08002B2CF9AE}" pid="2">
    <vt:lpwstr xmlns:vt="http://schemas.openxmlformats.org/officeDocument/2006/docPropsVTypes">true</vt:lpwstr>
  </property>
  <property name="MSIP_Label_19e68092-05df-4271-8e3e-b2a4c82ba797_SetDate" fmtid="{D5CDD505-2E9C-101B-9397-08002B2CF9AE}" pid="3">
    <vt:lpwstr xmlns:vt="http://schemas.openxmlformats.org/officeDocument/2006/docPropsVTypes">2025-07-18T05:33:49Z</vt:lpwstr>
  </property>
  <property name="MSIP_Label_19e68092-05df-4271-8e3e-b2a4c82ba797_Method" fmtid="{D5CDD505-2E9C-101B-9397-08002B2CF9AE}" pid="4">
    <vt:lpwstr xmlns:vt="http://schemas.openxmlformats.org/officeDocument/2006/docPropsVTypes">Standard</vt:lpwstr>
  </property>
  <property name="MSIP_Label_19e68092-05df-4271-8e3e-b2a4c82ba797_Name" fmtid="{D5CDD505-2E9C-101B-9397-08002B2CF9AE}" pid="5">
    <vt:lpwstr xmlns:vt="http://schemas.openxmlformats.org/officeDocument/2006/docPropsVTypes">Amazon Confidential</vt:lpwstr>
  </property>
  <property name="MSIP_Label_19e68092-05df-4271-8e3e-b2a4c82ba797_SiteId" fmtid="{D5CDD505-2E9C-101B-9397-08002B2CF9AE}" pid="6">
    <vt:lpwstr xmlns:vt="http://schemas.openxmlformats.org/officeDocument/2006/docPropsVTypes">5280104a-472d-4538-9ccf-1e1d0efe8b1b</vt:lpwstr>
  </property>
  <property name="MSIP_Label_19e68092-05df-4271-8e3e-b2a4c82ba797_ActionId" fmtid="{D5CDD505-2E9C-101B-9397-08002B2CF9AE}" pid="7">
    <vt:lpwstr xmlns:vt="http://schemas.openxmlformats.org/officeDocument/2006/docPropsVTypes">a953ca85-c262-4881-8af5-94029db5a653</vt:lpwstr>
  </property>
  <property name="MSIP_Label_19e68092-05df-4271-8e3e-b2a4c82ba797_ContentBits" fmtid="{D5CDD505-2E9C-101B-9397-08002B2CF9AE}" pid="8">
    <vt:lpwstr xmlns:vt="http://schemas.openxmlformats.org/officeDocument/2006/docPropsVTypes">0</vt:lpwstr>
  </property>
  <property name="MSIP_Label_19e68092-05df-4271-8e3e-b2a4c82ba797_Tag" fmtid="{D5CDD505-2E9C-101B-9397-08002B2CF9AE}" pid="9">
    <vt:lpwstr xmlns:vt="http://schemas.openxmlformats.org/officeDocument/2006/docPropsVTypes">50, 3, 0, 1</vt:lpwstr>
  </property>
  <property name="ContentTypeId" fmtid="{D5CDD505-2E9C-101B-9397-08002B2CF9AE}" pid="10">
    <vt:lpwstr xmlns:vt="http://schemas.openxmlformats.org/officeDocument/2006/docPropsVTypes">0x010100D90D720D22E865438DB552CF460984A5</vt:lpwstr>
  </property>
</Properties>
</file>