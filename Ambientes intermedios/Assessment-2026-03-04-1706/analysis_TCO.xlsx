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29652e\projects\Assessment\Assessment\Ambientes intermedios\Assessment-2026-03-04-1706\"/>
    </mc:Choice>
  </mc:AlternateContent>
  <xr:revisionPtr revIDLastSave="0" documentId="13_ncr:1_{913177D1-1AF2-4141-BB30-9C69E655350B}" xr6:coauthVersionLast="47" xr6:coauthVersionMax="47" xr10:uidLastSave="{00000000-0000-0000-0000-000000000000}"/>
  <bookViews>
    <workbookView xWindow="19095" yWindow="0" windowWidth="19410" windowHeight="15585" activeTab="2" xr2:uid="{00000000-000D-0000-FFFF-FFFF00000000}"/>
  </bookViews>
  <sheets>
    <sheet name="Read Me" sheetId="1" r:id="rId1"/>
    <sheet name="Glossary" sheetId="2" r:id="rId2"/>
    <sheet name="Shared Tenancy Analysis" sheetId="3" r:id="rId3"/>
  </sheets>
  <definedNames>
    <definedName name="_xlnm._FilterDatabase" localSheetId="2" hidden="1">'Shared Tenancy Analysis'!$A$1:$X$15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3" l="1"/>
  <c r="W15" i="3"/>
  <c r="U15" i="3"/>
  <c r="T15" i="3"/>
  <c r="P15" i="3"/>
  <c r="T14" i="3"/>
  <c r="P14" i="3"/>
  <c r="W13" i="3"/>
  <c r="U13" i="3"/>
  <c r="T13" i="3"/>
  <c r="P13" i="3"/>
  <c r="X12" i="3"/>
  <c r="V12" i="3"/>
  <c r="T12" i="3"/>
  <c r="P12" i="3"/>
  <c r="X11" i="3"/>
  <c r="V11" i="3"/>
  <c r="T11" i="3"/>
  <c r="P11" i="3"/>
  <c r="X10" i="3"/>
  <c r="V10" i="3"/>
  <c r="T10" i="3"/>
  <c r="P10" i="3"/>
  <c r="X9" i="3"/>
  <c r="V9" i="3"/>
  <c r="T9" i="3"/>
  <c r="P9" i="3"/>
  <c r="X8" i="3"/>
  <c r="V8" i="3"/>
  <c r="T8" i="3"/>
  <c r="P8" i="3"/>
  <c r="X7" i="3"/>
  <c r="V7" i="3"/>
  <c r="T7" i="3"/>
  <c r="P7" i="3"/>
  <c r="X6" i="3"/>
  <c r="V6" i="3"/>
  <c r="T6" i="3"/>
  <c r="P6" i="3"/>
  <c r="X5" i="3"/>
  <c r="V5" i="3"/>
  <c r="T5" i="3"/>
  <c r="P5" i="3"/>
  <c r="X4" i="3"/>
  <c r="V4" i="3"/>
  <c r="T4" i="3"/>
  <c r="P4" i="3"/>
  <c r="X3" i="3"/>
  <c r="V3" i="3"/>
  <c r="T3" i="3"/>
  <c r="P3" i="3"/>
  <c r="X2" i="3"/>
  <c r="V2" i="3"/>
  <c r="T2" i="3"/>
  <c r="P2" i="3"/>
</calcChain>
</file>

<file path=xl/sharedStrings.xml><?xml version="1.0" encoding="utf-8"?>
<sst xmlns="http://schemas.openxmlformats.org/spreadsheetml/2006/main" count="539" uniqueCount="319">
  <si>
    <t>Host Name Onpremise</t>
  </si>
  <si>
    <t>EC2 Name</t>
  </si>
  <si>
    <t>Enviroment</t>
  </si>
  <si>
    <t>Number of CPUs</t>
  </si>
  <si>
    <t>RAM (GB)</t>
  </si>
  <si>
    <t>Operation System Type</t>
  </si>
  <si>
    <t>Operation System Name</t>
  </si>
  <si>
    <t>AWS Instance Recommended</t>
  </si>
  <si>
    <t>AWS Instance Deploy</t>
  </si>
  <si>
    <t>AWS Total Cores</t>
  </si>
  <si>
    <t>AWS RAM (GB)</t>
  </si>
  <si>
    <t>EBS Size (GB)</t>
  </si>
  <si>
    <t>EBS Additional Size (GB)</t>
  </si>
  <si>
    <t>AWS Region</t>
  </si>
  <si>
    <t>Monthly Root EBS Cost</t>
  </si>
  <si>
    <t>Annualized 1 Yr Root EBS Cost</t>
  </si>
  <si>
    <t>Monthly Additional EBS Cost</t>
  </si>
  <si>
    <t>Annualized 1 Yr Additional EBS Cost</t>
  </si>
  <si>
    <t>Monthly  On-Demand Total EC2 - RDS Cost</t>
  </si>
  <si>
    <t>Annualized On-Demand Total EC2 - RDS Cost</t>
  </si>
  <si>
    <t>Monthly 1 Yr NURI  Standard Reserved Instances Total EC2 - RDS Cost</t>
  </si>
  <si>
    <t>Annualized 1 Yr NURI Total EC2 - RDS Cost</t>
  </si>
  <si>
    <t>Monthly 3 Yr NURI  Standard Reserved Instances Total EC2 - RDS Cost</t>
  </si>
  <si>
    <t>Annualized 3 Yr NURI Total EC2 Cost</t>
  </si>
  <si>
    <t>PAHQTAPIIS01</t>
  </si>
  <si>
    <t>USAEA1UAPWES01</t>
  </si>
  <si>
    <t>UAT</t>
  </si>
  <si>
    <t>Windows</t>
  </si>
  <si>
    <t>Microsoft Windows Server 2016 or later</t>
  </si>
  <si>
    <t>m5a.xlarge</t>
  </si>
  <si>
    <t>US East (N. Virginia)</t>
  </si>
  <si>
    <t>PAHQTFSDSC01</t>
  </si>
  <si>
    <t>USAEA1UAPWES02</t>
  </si>
  <si>
    <t>Microsoft Windows Server 2022</t>
  </si>
  <si>
    <t>c5a.xlarge</t>
  </si>
  <si>
    <t>PAHQTWFINT01</t>
  </si>
  <si>
    <t>USAEA1UAPWES03</t>
  </si>
  <si>
    <t>Microsoft Windows Server 2019</t>
  </si>
  <si>
    <t>PAHQTAPSTE01</t>
  </si>
  <si>
    <t>USAEA1UAPLES01</t>
  </si>
  <si>
    <t>RHEL</t>
  </si>
  <si>
    <t>Red Hat Enterprise Linux 8</t>
  </si>
  <si>
    <t>PAHQTAPSTS01</t>
  </si>
  <si>
    <t>USAEA1UAPLES02</t>
  </si>
  <si>
    <t>m5.xlarge</t>
  </si>
  <si>
    <t>PAHQTAPBOF01</t>
  </si>
  <si>
    <t>USAEA1TAPLES01</t>
  </si>
  <si>
    <t>QA</t>
  </si>
  <si>
    <t>Linux</t>
  </si>
  <si>
    <t>Ubuntu Linux</t>
  </si>
  <si>
    <t>m5.large</t>
  </si>
  <si>
    <t>SSRP</t>
  </si>
  <si>
    <t>DEV</t>
  </si>
  <si>
    <t>PAHQDAPIIS01</t>
  </si>
  <si>
    <t>m5a.large</t>
  </si>
  <si>
    <t>PAHQDWFINT01</t>
  </si>
  <si>
    <t>PAHQDAPWSS01</t>
  </si>
  <si>
    <t>PAHQTWFINT02</t>
  </si>
  <si>
    <t>RDS SQL Server (UAT)</t>
  </si>
  <si>
    <t>SQL Server - Standard</t>
  </si>
  <si>
    <t>SQL Server Standard Edition 15.x</t>
  </si>
  <si>
    <t>db.r5.large</t>
  </si>
  <si>
    <t>RDS SQL Server (DEV)</t>
  </si>
  <si>
    <t>SQL Server - Developer</t>
  </si>
  <si>
    <t>SQL Server Developer Edition 16.x</t>
  </si>
  <si>
    <t>db.m6i.xlarge</t>
  </si>
  <si>
    <t>NA</t>
  </si>
  <si>
    <t>RDS SQL Server (QA)</t>
  </si>
  <si>
    <t>This file contains an export of AWS Transform Assessment results. Please see below for the description of sheets included in this export</t>
  </si>
  <si>
    <t>Sheet</t>
  </si>
  <si>
    <t>Description</t>
  </si>
  <si>
    <t>Glossary</t>
  </si>
  <si>
    <t>Column-by-column definitions and descriptions for all data fields for all tabs in this export.</t>
  </si>
  <si>
    <t>Shared Tenancy Analysis</t>
  </si>
  <si>
    <t>Lists servers that can run on shared hardware infrastructure in AWS with other customers' instances while maintaining security, performance and compliance requirements.</t>
  </si>
  <si>
    <t>Mixed Tenancy Analysis</t>
  </si>
  <si>
    <t>Identifies workloads that can operate with a combination of shared and dedicated hosting options based on specific application needs and compliance requirements.</t>
  </si>
  <si>
    <t>Server-Dedicated Host Mapping</t>
  </si>
  <si>
    <t>Shows the mapping between servers and AWS Dedicated Hosts as part of Mixed Tenancy Analysis</t>
  </si>
  <si>
    <t>On-Premises VM Hosts</t>
  </si>
  <si>
    <t>Provides an inventory of current virtual machine hosts in the on-premises environment, including their specifications (if available)</t>
  </si>
  <si>
    <t>File-FSxN</t>
  </si>
  <si>
    <t>Analysis of Network Attached Storage (NAS) workloads mapped to Amazon FSx for NetApp ONTAP</t>
  </si>
  <si>
    <t>Block-EBS-Cost-Optimized</t>
  </si>
  <si>
    <t>Storage Area Network (SAN) volumes mapped to Amazon EBS with cost-optimized recommendations</t>
  </si>
  <si>
    <t>Block-EBS-1-2-Many</t>
  </si>
  <si>
    <t>SAN volumes mapped to Amazon EBS using one-to-many volume relationships</t>
  </si>
  <si>
    <t>Block-FSxN</t>
  </si>
  <si>
    <t>SAN volumes mapped to Amazon FSx for NetApp ONTAP storage</t>
  </si>
  <si>
    <t>FileServers-FSxN</t>
  </si>
  <si>
    <t>File server workloads mapped to Amazon FSx for NetApp ONTAP file systems</t>
  </si>
  <si>
    <t>Disclaimer:  This report provides an estimate of fees in USD, and savings based on certain information you provide. Fee estimates do not include any taxes that might apply. Your actual fees and savings depend on a variety of factors, including your actual usage of AWS services, which may vary from the estimates provided in this report. Additional configurations are available on request by engaging a specialist. The data presented in this assessment report is derived from the information provided during the initial data upload process. Some fields may appear blank or without values or some sheets may not be present if corresponding data was not available in the source environment.</t>
  </si>
  <si>
    <t>Attribute Name</t>
  </si>
  <si>
    <t>Server Id</t>
  </si>
  <si>
    <t>Unique identifier for the server</t>
  </si>
  <si>
    <t>Server Name</t>
  </si>
  <si>
    <t>Name assigned to the server</t>
  </si>
  <si>
    <t>Host Name</t>
  </si>
  <si>
    <t>Name of the virtual machine host</t>
  </si>
  <si>
    <t>Cluster Name</t>
  </si>
  <si>
    <t>Name of the host cluster group</t>
  </si>
  <si>
    <t>Hypervisor</t>
  </si>
  <si>
    <t>Type of virtualization platform used</t>
  </si>
  <si>
    <t>Environment</t>
  </si>
  <si>
    <t>Production/Development/Test environment designation</t>
  </si>
  <si>
    <t>Application</t>
  </si>
  <si>
    <t>Primary application running on server</t>
  </si>
  <si>
    <t>Server Type</t>
  </si>
  <si>
    <t>Virtual or Physical server</t>
  </si>
  <si>
    <t>Count  processors</t>
  </si>
  <si>
    <t>Cores per CPU</t>
  </si>
  <si>
    <t>Number of cores in each processor</t>
  </si>
  <si>
    <t>Total Cores</t>
  </si>
  <si>
    <t>Total number of CPU cores available</t>
  </si>
  <si>
    <t>Total memory capacity in gigabytes</t>
  </si>
  <si>
    <t>Category of operating system</t>
  </si>
  <si>
    <t>Specific OS version/distribution</t>
  </si>
  <si>
    <t>SQl Edition</t>
  </si>
  <si>
    <t>Edition of SQL Server installed</t>
  </si>
  <si>
    <t>SQL Version</t>
  </si>
  <si>
    <t>Version number of SQL Server</t>
  </si>
  <si>
    <t>Peak CPU Utilization %</t>
  </si>
  <si>
    <t>Maximum CPU usage recorded</t>
  </si>
  <si>
    <t>Average CPU Utilization %</t>
  </si>
  <si>
    <t>Average CPU usage over time</t>
  </si>
  <si>
    <t>Peak RAM Utilization %</t>
  </si>
  <si>
    <t>Maximum memory usage recorded</t>
  </si>
  <si>
    <t>Average RAM Utilization %</t>
  </si>
  <si>
    <t>Average memory usage over time</t>
  </si>
  <si>
    <t>Uptime %</t>
  </si>
  <si>
    <t>Percentage of time server is operational</t>
  </si>
  <si>
    <t>Provisioned Storage (GB)</t>
  </si>
  <si>
    <t>Total allocated storage space</t>
  </si>
  <si>
    <t>Storage Utilization %</t>
  </si>
  <si>
    <t>Percentage of storage space used</t>
  </si>
  <si>
    <t>Utilized Storage</t>
  </si>
  <si>
    <t>Actual storage space used</t>
  </si>
  <si>
    <t>Storage Type</t>
  </si>
  <si>
    <t>Category of storage solution</t>
  </si>
  <si>
    <t>Average Read IOPS</t>
  </si>
  <si>
    <t>Average read operations per second</t>
  </si>
  <si>
    <t>Average Write IOPS</t>
  </si>
  <si>
    <t>Average write operations per second</t>
  </si>
  <si>
    <t>Max Read IOPS</t>
  </si>
  <si>
    <t>Maximum read operations per second</t>
  </si>
  <si>
    <t>Max Write IOPS</t>
  </si>
  <si>
    <t>Maximum write operations per second</t>
  </si>
  <si>
    <t>EC2 Instance Recommended</t>
  </si>
  <si>
    <t>Recommended AWS instance type</t>
  </si>
  <si>
    <t>EC2  Total Cores</t>
  </si>
  <si>
    <t>Total  cores in recommended EC2 instance</t>
  </si>
  <si>
    <t>EC2 RAM (GB)</t>
  </si>
  <si>
    <t>Memory in recommended instance in GB</t>
  </si>
  <si>
    <t>Recommended elastic block storage size in GB</t>
  </si>
  <si>
    <t>Target AWS geographic region</t>
  </si>
  <si>
    <t>Annualized On-Demand Total EC2 Cost</t>
  </si>
  <si>
    <t>Yearly total cost using on-demand pricing</t>
  </si>
  <si>
    <t>Annualized License only Cost</t>
  </si>
  <si>
    <t>Yearly licensing only costs for Windows operating systems</t>
  </si>
  <si>
    <t>Annualized On-Demand EC2 Cost Excl. License Cost</t>
  </si>
  <si>
    <t>Yearly compute only costs at on-demand rates</t>
  </si>
  <si>
    <t>Annualized 1 Yr NURI Total EC2 Cost</t>
  </si>
  <si>
    <t>Total yearly cost with 1-year commitment with no upfront payment</t>
  </si>
  <si>
    <t>Annualized 1 Yr NURI EC2 Cost Excl. License Cost</t>
  </si>
  <si>
    <t>Compute-only yearly cost with 1-year commitment with no upfront payment</t>
  </si>
  <si>
    <t>Total yearly cost with 3-year commitment with no upfront payment</t>
  </si>
  <si>
    <t>Annualized 3 Yr NURI EC2 Cost Excl. License Cost</t>
  </si>
  <si>
    <t>Compute-only yearly cost with 3-year commitment with no upfront payment</t>
  </si>
  <si>
    <t>Server name / Dedicated Host</t>
  </si>
  <si>
    <t>Tenancy Type</t>
  </si>
  <si>
    <t>Type of AWS tenancy model assigned</t>
  </si>
  <si>
    <t>Operating System Type</t>
  </si>
  <si>
    <t>Operating System License Model</t>
  </si>
  <si>
    <t>Licensing structure for the operating system</t>
  </si>
  <si>
    <t>Number of Instances Packed</t>
  </si>
  <si>
    <t>Count of instances consolidated on dedicated host</t>
  </si>
  <si>
    <t>Dedicated Host Cores</t>
  </si>
  <si>
    <t>Number of CPU cores on recommended dedicated host</t>
  </si>
  <si>
    <t>Annualized Licensing Only Cost</t>
  </si>
  <si>
    <t>Annual cost for software licensing only</t>
  </si>
  <si>
    <t>Recommended Instance</t>
  </si>
  <si>
    <t>Suggested AWS instance type for migration</t>
  </si>
  <si>
    <t>DH Host</t>
  </si>
  <si>
    <t>Dedicated Host identifier where EC2 instance will be deployed</t>
  </si>
  <si>
    <t>On-premises VM Hosts</t>
  </si>
  <si>
    <t>Host CPU Sockets</t>
  </si>
  <si>
    <t>Number of physical CPU sockets on host</t>
  </si>
  <si>
    <t>Host pCPU Total Cores</t>
  </si>
  <si>
    <t>Total number of physical CPU cores on host</t>
  </si>
  <si>
    <t>Host RAM (GB)</t>
  </si>
  <si>
    <t>Total memory capacity of host in gigabytes</t>
  </si>
  <si>
    <t>Volume Name</t>
  </si>
  <si>
    <t>Unique identifier for the storage volume</t>
  </si>
  <si>
    <t>Storage Array Name</t>
  </si>
  <si>
    <t>Name/identifier of the storage system</t>
  </si>
  <si>
    <t>Storage Pool Name</t>
  </si>
  <si>
    <t>Name of the logical grouping for storage volume</t>
  </si>
  <si>
    <t>Vendor</t>
  </si>
  <si>
    <t>Manufacturer of the storage system</t>
  </si>
  <si>
    <t xml:space="preserve">Volume Type </t>
  </si>
  <si>
    <t xml:space="preserve">Classification of volume </t>
  </si>
  <si>
    <t>Zombie</t>
  </si>
  <si>
    <t>Unused storage volume</t>
  </si>
  <si>
    <t>Scope</t>
  </si>
  <si>
    <t>Whether the storage volume is in scope for the assessment</t>
  </si>
  <si>
    <t>Directional Tiering Policy</t>
  </si>
  <si>
    <t>Rules for automatically moving data between storage tiers</t>
  </si>
  <si>
    <t>Capacity Total</t>
  </si>
  <si>
    <t>Total storage capacity allocated to the volume</t>
  </si>
  <si>
    <t>Capacity Used</t>
  </si>
  <si>
    <t>Actual storage space being utilized</t>
  </si>
  <si>
    <t>Peak IOPS</t>
  </si>
  <si>
    <t>Maximum Input/Output Operations Per Second during peak usage</t>
  </si>
  <si>
    <t>Peak Throughput</t>
  </si>
  <si>
    <t>Maximum data transfer rate</t>
  </si>
  <si>
    <t xml:space="preserve">Required IOPS </t>
  </si>
  <si>
    <t>Minimum IOPS needed to meet performance requirements</t>
  </si>
  <si>
    <t xml:space="preserve">Required Throughput </t>
  </si>
  <si>
    <t>Minimum throughput needed to meet performance requirements</t>
  </si>
  <si>
    <t xml:space="preserve">Capacity Post Dedupe </t>
  </si>
  <si>
    <t>Storage capacity after deduplication has been applied</t>
  </si>
  <si>
    <t>SSD Capacity</t>
  </si>
  <si>
    <t>Storage capacity on SSD media</t>
  </si>
  <si>
    <t>SSD-Capacity with Overheads</t>
  </si>
  <si>
    <t>SSD capacity including system overhead requirements</t>
  </si>
  <si>
    <t>Capacity Pool Capacity</t>
  </si>
  <si>
    <t>Available capacity in the storage pool</t>
  </si>
  <si>
    <t>Total FileSystem Size</t>
  </si>
  <si>
    <t>Total size of the file system allocated to the volume</t>
  </si>
  <si>
    <t>VolumeTypeFlag</t>
  </si>
  <si>
    <t>Physical or virtual</t>
  </si>
  <si>
    <t>Evaluation Error</t>
  </si>
  <si>
    <t>Any errors encountered during assessment</t>
  </si>
  <si>
    <t>AWS Service Mapping (Cost Optimized)</t>
  </si>
  <si>
    <t>Recommended AWS storage service</t>
  </si>
  <si>
    <t>VirtualBootVolumeType</t>
  </si>
  <si>
    <t>Type of boot volume for virtual instances</t>
  </si>
  <si>
    <t>DataStore Name</t>
  </si>
  <si>
    <t>Name of the data storage location</t>
  </si>
  <si>
    <t>Multi Attach</t>
  </si>
  <si>
    <t>Capability for multiple instance attachments</t>
  </si>
  <si>
    <t>Target AWS region for migration</t>
  </si>
  <si>
    <t>VirtualBootVolumeSizeGB</t>
  </si>
  <si>
    <t>Size of boot volume in gigabytes</t>
  </si>
  <si>
    <t>VirtualBootVolumeCount</t>
  </si>
  <si>
    <t>Number of boot volumes</t>
  </si>
  <si>
    <t>VirtualBootVolumeMonthlyCost</t>
  </si>
  <si>
    <t>Monthly cost for boot volumes</t>
  </si>
  <si>
    <t>VirtualBootVolumeAnnualCost</t>
  </si>
  <si>
    <t>Annual cost for boot volumes</t>
  </si>
  <si>
    <t>VolumeCount_CO</t>
  </si>
  <si>
    <t>Number of volumes in cost-optimized scenario</t>
  </si>
  <si>
    <t>Average Latency</t>
  </si>
  <si>
    <t>Typical response time for storage operations</t>
  </si>
  <si>
    <t>AdjustedStorageCapacity_CO</t>
  </si>
  <si>
    <t>Modified capacity for cost optimization</t>
  </si>
  <si>
    <t>AdjustedCapacityWithboot_CO</t>
  </si>
  <si>
    <t>Modified capacity including boot volumes</t>
  </si>
  <si>
    <t>Estimated Monthly AWS Storage Cost (Cost Optimized)</t>
  </si>
  <si>
    <t>Projected monthly AWS storage costs after optimization</t>
  </si>
  <si>
    <t>Average IOPS</t>
  </si>
  <si>
    <t>Typical Input/Output Operations Per Second</t>
  </si>
  <si>
    <t>AdditionalIOPSRequired_CO</t>
  </si>
  <si>
    <t>Extra IOPS needed in cost-optimized scenario</t>
  </si>
  <si>
    <t>Estimated Monthly AWS IOPS Cost (Cost Optimized)</t>
  </si>
  <si>
    <t>Projected monthly IOPS costs after optimization</t>
  </si>
  <si>
    <t>Average Throughput</t>
  </si>
  <si>
    <t>Typical data transfer rate</t>
  </si>
  <si>
    <t>AdditionalThroughputRequired_CO</t>
  </si>
  <si>
    <t>Extra throughput needed in cost-optimized scenario</t>
  </si>
  <si>
    <t>Estimated Monthly AWS Throughput Cost (Cost Optimized)</t>
  </si>
  <si>
    <t>Projected monthly throughput costs after optimization</t>
  </si>
  <si>
    <t>Estimated Monthly AWS Cost (Cost Optimized)</t>
  </si>
  <si>
    <t>Total projected monthly AWS costs after optimization</t>
  </si>
  <si>
    <t>Estimated Annual AWS Cost (Cost Optimized)</t>
  </si>
  <si>
    <t>Total projected annual AWS costs after optimization</t>
  </si>
  <si>
    <t>AWS Service Mapping (1-2 Many)</t>
  </si>
  <si>
    <t>12ManySupport</t>
  </si>
  <si>
    <t>Yes/No</t>
  </si>
  <si>
    <t>VolumeCount_12Many</t>
  </si>
  <si>
    <t>Number of volumes in 1-to-many scenario</t>
  </si>
  <si>
    <t>AdjustedStorageCapacity_12Many</t>
  </si>
  <si>
    <t>Modified capacity for 1-to-many scenario</t>
  </si>
  <si>
    <t>AdjustedCapacityWithboot_12Many</t>
  </si>
  <si>
    <t>Estimated Monthly AWS Storage Cost (1-2 Many)</t>
  </si>
  <si>
    <t>Projected monthly AWS storage costs for 1-to-many scenario</t>
  </si>
  <si>
    <t>AdditionalIOPSRequired_12Many</t>
  </si>
  <si>
    <t>Extra IOPS needed in 1-to-many scenario</t>
  </si>
  <si>
    <t>Estimated Monthly AWS IOPS Cost (1-2 Many)</t>
  </si>
  <si>
    <t>Projected monthly IOPS costs  for 1-to-many scenario</t>
  </si>
  <si>
    <t>AdditionalThroughputRequired_12Many</t>
  </si>
  <si>
    <t>Extra throughput needed  for 1-to-many scenario</t>
  </si>
  <si>
    <t>Estimated Monthly AWS Throughput Cost (1-2 Many)</t>
  </si>
  <si>
    <t>Projected monthly throughput costs  for 1-to-many scenario</t>
  </si>
  <si>
    <t>Estimated Monthly AWS Cost (1-2 Many)</t>
  </si>
  <si>
    <t>Total projected monthly AWS costs  for 1-to-many scenario</t>
  </si>
  <si>
    <t>Estimated Annual AWS Cost (1-2 Many)</t>
  </si>
  <si>
    <t>Total projected annual AWS costs  for 1-to-many scenario</t>
  </si>
  <si>
    <t>Volume Type (Physical LUN or Virtual Disk)</t>
  </si>
  <si>
    <t>Physical or Virtual</t>
  </si>
  <si>
    <t>Virtual Boot Volume Type</t>
  </si>
  <si>
    <t>Specifies the AWS EBS volume type (like gp3, gp2, io2, etc.) used for booting virtual instances</t>
  </si>
  <si>
    <t>Capacity Total (GB)</t>
  </si>
  <si>
    <t>Capacity Used (GB)</t>
  </si>
  <si>
    <t>Size of the boot volume</t>
  </si>
  <si>
    <t>RequiredIOPS</t>
  </si>
  <si>
    <t xml:space="preserve">Provisioned IOPS </t>
  </si>
  <si>
    <t>Allocated input/output operations per second</t>
  </si>
  <si>
    <t>Provisioned Throughput</t>
  </si>
  <si>
    <t>Allocated data transfer capacity</t>
  </si>
  <si>
    <t>SSD Capacity (GB)</t>
  </si>
  <si>
    <t>SSD with Overheads (GB)</t>
  </si>
  <si>
    <t>Capacity Pool Capacity (GB)</t>
  </si>
  <si>
    <t>Total File System Size (GB)</t>
  </si>
  <si>
    <t>Estimated Boot Volume Monthly Cost</t>
  </si>
  <si>
    <t>Total projected monthly AWS costs</t>
  </si>
  <si>
    <t>Estimated Boot Volume Annual Cost</t>
  </si>
  <si>
    <t xml:space="preserve">Total projected annual AWS costs </t>
  </si>
  <si>
    <t>Type of voumes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</si>
</sst>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2">
    <font>
      <sz val="12"/>
      <color theme="1"/>
      <name val="Aptos Narrow"/>
      <scheme val="minor"/>
    </font>
    <font>
      <sz val="12"/>
      <color theme="1"/>
      <name val="Aptos Narrow"/>
    </font>
    <font>
      <b/>
      <sz val="18"/>
      <color theme="1"/>
      <name val="Amazon Ember Medium"/>
    </font>
    <font>
      <b/>
      <sz val="16"/>
      <color theme="1"/>
      <name val="Amazon Ember Medium"/>
    </font>
    <font>
      <b/>
      <sz val="14"/>
      <color theme="1"/>
      <name val="Amazon Ember Medium"/>
    </font>
    <font>
      <sz val="14"/>
      <color theme="1"/>
      <name val="Amazon Ember"/>
    </font>
    <font>
      <sz val="12"/>
      <color theme="1"/>
      <name val="Amazon Ember Medium"/>
    </font>
    <font>
      <sz val="14"/>
      <color theme="1"/>
      <name val="Amazon Ember Medium"/>
    </font>
    <font>
      <sz val="12"/>
      <color theme="1"/>
      <name val="Amazon Ember"/>
    </font>
    <font>
      <b/>
      <sz val="12"/>
      <color theme="1"/>
      <name val="Amazon Ember"/>
    </font>
    <font>
      <b/>
      <i/>
      <sz val="12"/>
      <color theme="1"/>
      <name val="Amazon Ember"/>
    </font>
    <font>
      <b/>
      <sz val="12"/>
      <color theme="0"/>
      <name val="Amazon Ember"/>
    </font>
  </fonts>
  <fills count="5">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FFFF"/>
        <bgColor rgb="FFFFFFFF"/>
      </patternFill>
    </fill>
  </fills>
  <borders count="25">
    <border>
      <left/>
      <right/>
      <top/>
      <bottom/>
      <diagonal/>
    </border>
    <border>
      <left/>
      <right/>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diagonal/>
    </border>
    <border>
      <left/>
      <right style="thin">
        <color rgb="FF000000"/>
      </right>
      <top/>
      <bottom/>
      <diagonal/>
    </border>
    <border>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diagonal/>
    </border>
  </borders>
  <cellStyleXfs count="1">
    <xf numFmtId="0" fontId="0" fillId="0" borderId="1"/>
  </cellStyleXfs>
  <cellXfs count="50">
    <xf numFmtId="0" fontId="0" fillId="0" borderId="0" xfId="0" applyBorder="1"/>
    <xf numFmtId="0" fontId="1" fillId="2" borderId="1" xfId="0" applyFont="1" applyFill="1"/>
    <xf numFmtId="0" fontId="3" fillId="2" borderId="1" xfId="0" applyFont="1" applyFill="1" applyAlignment="1">
      <alignment vertical="center"/>
    </xf>
    <xf numFmtId="0" fontId="2" fillId="2" borderId="1" xfId="0" applyFont="1" applyFill="1" applyAlignment="1">
      <alignment horizontal="center" vertical="center"/>
    </xf>
    <xf numFmtId="0" fontId="4" fillId="2" borderId="8" xfId="0" applyFont="1" applyFill="1" applyBorder="1"/>
    <xf numFmtId="0" fontId="4" fillId="2" borderId="9" xfId="0" applyFont="1" applyFill="1" applyBorder="1"/>
    <xf numFmtId="0" fontId="5" fillId="2" borderId="10" xfId="0" applyFont="1" applyFill="1" applyBorder="1" applyAlignment="1">
      <alignment vertical="center" wrapText="1"/>
    </xf>
    <xf numFmtId="0" fontId="5" fillId="2" borderId="11" xfId="0" applyFont="1" applyFill="1" applyBorder="1" applyAlignment="1">
      <alignment vertical="center" wrapText="1"/>
    </xf>
    <xf numFmtId="0" fontId="5" fillId="2" borderId="10" xfId="0" applyFont="1" applyFill="1" applyBorder="1" applyAlignment="1">
      <alignment vertical="center"/>
    </xf>
    <xf numFmtId="0" fontId="5" fillId="2" borderId="12" xfId="0" applyFont="1" applyFill="1" applyBorder="1" applyAlignment="1">
      <alignment vertical="center"/>
    </xf>
    <xf numFmtId="0" fontId="5" fillId="2" borderId="13" xfId="0" applyFont="1" applyFill="1" applyBorder="1" applyAlignment="1">
      <alignment vertical="center" wrapText="1"/>
    </xf>
    <xf numFmtId="0" fontId="5" fillId="2" borderId="1" xfId="0" applyFont="1" applyFill="1" applyAlignment="1">
      <alignment vertical="center"/>
    </xf>
    <xf numFmtId="0" fontId="5" fillId="2" borderId="1" xfId="0" applyFont="1" applyFill="1" applyAlignment="1">
      <alignment vertical="center" wrapText="1"/>
    </xf>
    <xf numFmtId="0" fontId="6" fillId="2" borderId="1" xfId="0" applyFont="1" applyFill="1"/>
    <xf numFmtId="0" fontId="8" fillId="2" borderId="1" xfId="0" applyFont="1" applyFill="1"/>
    <xf numFmtId="0" fontId="9" fillId="2" borderId="8" xfId="0" applyFont="1" applyFill="1" applyBorder="1"/>
    <xf numFmtId="0" fontId="9" fillId="2" borderId="9" xfId="0" applyFont="1" applyFill="1" applyBorder="1"/>
    <xf numFmtId="0" fontId="9" fillId="2" borderId="12" xfId="0" applyFont="1" applyFill="1" applyBorder="1"/>
    <xf numFmtId="0" fontId="9" fillId="2" borderId="13" xfId="0" applyFont="1" applyFill="1" applyBorder="1"/>
    <xf numFmtId="0" fontId="8" fillId="2" borderId="8" xfId="0" applyFont="1" applyFill="1" applyBorder="1"/>
    <xf numFmtId="0" fontId="8" fillId="2" borderId="9" xfId="0" applyFont="1" applyFill="1" applyBorder="1"/>
    <xf numFmtId="0" fontId="8" fillId="2" borderId="10" xfId="0" applyFont="1" applyFill="1" applyBorder="1"/>
    <xf numFmtId="0" fontId="8" fillId="2" borderId="11" xfId="0" applyFont="1" applyFill="1" applyBorder="1"/>
    <xf numFmtId="0" fontId="8" fillId="2" borderId="12" xfId="0" applyFont="1" applyFill="1" applyBorder="1"/>
    <xf numFmtId="0" fontId="8" fillId="2" borderId="13" xfId="0" applyFont="1" applyFill="1" applyBorder="1"/>
    <xf numFmtId="0" fontId="8" fillId="2" borderId="17" xfId="0" applyFont="1" applyFill="1" applyBorder="1"/>
    <xf numFmtId="0" fontId="8" fillId="2" borderId="18" xfId="0" applyFont="1" applyFill="1" applyBorder="1"/>
    <xf numFmtId="0" fontId="8" fillId="2" borderId="13" xfId="0" applyFont="1" applyFill="1" applyBorder="1" applyAlignment="1">
      <alignment wrapText="1"/>
    </xf>
    <xf numFmtId="0" fontId="11" fillId="3" borderId="20" xfId="0" applyFont="1" applyFill="1" applyBorder="1"/>
    <xf numFmtId="0" fontId="11" fillId="3" borderId="20" xfId="0" applyFont="1" applyFill="1" applyBorder="1" applyAlignment="1">
      <alignment horizontal="center"/>
    </xf>
    <xf numFmtId="0" fontId="8" fillId="2" borderId="20" xfId="0" applyFont="1" applyFill="1" applyBorder="1"/>
    <xf numFmtId="164" fontId="8" fillId="2" borderId="20" xfId="0" applyNumberFormat="1" applyFont="1" applyFill="1" applyBorder="1" applyAlignment="1">
      <alignment horizontal="center"/>
    </xf>
    <xf numFmtId="0" fontId="8" fillId="4" borderId="20" xfId="0" applyFont="1" applyFill="1" applyBorder="1"/>
    <xf numFmtId="0" fontId="2" fillId="2" borderId="21" xfId="0" applyFont="1" applyFill="1" applyBorder="1" applyAlignment="1">
      <alignment horizontal="center" vertical="center"/>
    </xf>
    <xf numFmtId="0" fontId="0" fillId="0" borderId="2" xfId="0" applyBorder="1"/>
    <xf numFmtId="0" fontId="0" fillId="0" borderId="3" xfId="0" applyBorder="1"/>
    <xf numFmtId="0" fontId="0" fillId="0" borderId="14" xfId="0" applyBorder="1"/>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7" fillId="2" borderId="21" xfId="0" applyFont="1" applyFill="1" applyBorder="1" applyAlignment="1">
      <alignment horizontal="left" vertical="center" wrapText="1"/>
    </xf>
    <xf numFmtId="0" fontId="10" fillId="2" borderId="23" xfId="0" applyFont="1" applyFill="1" applyBorder="1" applyAlignment="1">
      <alignment horizontal="center"/>
    </xf>
    <xf numFmtId="0" fontId="0" fillId="0" borderId="16" xfId="0" applyBorder="1"/>
    <xf numFmtId="0" fontId="10" fillId="2" borderId="22" xfId="0" applyFont="1" applyFill="1" applyBorder="1" applyAlignment="1">
      <alignment horizontal="center"/>
    </xf>
    <xf numFmtId="0" fontId="0" fillId="0" borderId="19" xfId="0" applyBorder="1"/>
    <xf numFmtId="0" fontId="10" fillId="2" borderId="23" xfId="0" applyFont="1" applyFill="1" applyBorder="1" applyAlignment="1">
      <alignment horizontal="center" vertical="center"/>
    </xf>
    <xf numFmtId="0" fontId="10" fillId="2" borderId="24" xfId="0" applyFont="1" applyFill="1" applyBorder="1" applyAlignment="1">
      <alignment horizontal="center" vertical="center"/>
    </xf>
    <xf numFmtId="0" fontId="0" fillId="0" borderId="1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1.25" defaultRowHeight="15" customHeight="1"/>
  <cols>
    <col min="1" max="1" width="1.25" customWidth="1"/>
    <col min="2" max="2" width="37" customWidth="1"/>
    <col min="3" max="3" width="105.375" customWidth="1"/>
    <col min="4" max="26" width="10.875" customWidth="1"/>
  </cols>
  <sheetData>
    <row r="1" spans="1:26" ht="6.75" customHeight="1">
      <c r="A1" s="1"/>
      <c r="B1" s="1"/>
      <c r="C1" s="1"/>
      <c r="D1" s="1"/>
      <c r="E1" s="1"/>
      <c r="F1" s="1"/>
      <c r="G1" s="1"/>
      <c r="H1" s="1"/>
      <c r="I1" s="1"/>
      <c r="J1" s="1"/>
      <c r="K1" s="1"/>
      <c r="L1" s="1"/>
      <c r="M1" s="1"/>
      <c r="N1" s="1"/>
      <c r="O1" s="1"/>
      <c r="P1" s="1"/>
      <c r="Q1" s="1"/>
      <c r="R1" s="1"/>
      <c r="S1" s="1"/>
      <c r="T1" s="1"/>
      <c r="U1" s="1"/>
      <c r="V1" s="1"/>
      <c r="W1" s="1"/>
      <c r="X1" s="1"/>
      <c r="Y1" s="1"/>
      <c r="Z1" s="1"/>
    </row>
    <row r="2" spans="1:26" ht="21" customHeight="1">
      <c r="A2" s="1"/>
      <c r="B2" s="33" t="s">
        <v>68</v>
      </c>
      <c r="C2" s="34"/>
      <c r="D2" s="34"/>
      <c r="E2" s="34"/>
      <c r="F2" s="34"/>
      <c r="G2" s="34"/>
      <c r="H2" s="34"/>
      <c r="I2" s="35"/>
      <c r="J2" s="2"/>
      <c r="K2" s="2"/>
      <c r="L2" s="2"/>
      <c r="M2" s="2"/>
      <c r="N2" s="2"/>
      <c r="O2" s="2"/>
      <c r="P2" s="2"/>
      <c r="Q2" s="2"/>
      <c r="R2" s="1"/>
      <c r="S2" s="1"/>
      <c r="T2" s="1"/>
      <c r="U2" s="1"/>
      <c r="V2" s="1"/>
      <c r="W2" s="1"/>
      <c r="X2" s="1"/>
      <c r="Y2" s="1"/>
      <c r="Z2" s="1"/>
    </row>
    <row r="3" spans="1:26" ht="15.75" customHeight="1">
      <c r="A3" s="1"/>
      <c r="B3" s="36"/>
      <c r="C3" s="37"/>
      <c r="D3" s="37"/>
      <c r="E3" s="37"/>
      <c r="F3" s="37"/>
      <c r="G3" s="37"/>
      <c r="H3" s="37"/>
      <c r="I3" s="38"/>
      <c r="J3" s="2"/>
      <c r="K3" s="2"/>
      <c r="L3" s="2"/>
      <c r="M3" s="2"/>
      <c r="N3" s="2"/>
      <c r="O3" s="2"/>
      <c r="P3" s="2"/>
      <c r="Q3" s="2"/>
      <c r="R3" s="1"/>
      <c r="S3" s="1"/>
      <c r="T3" s="1"/>
      <c r="U3" s="1"/>
      <c r="V3" s="1"/>
      <c r="W3" s="1"/>
      <c r="X3" s="1"/>
      <c r="Y3" s="1"/>
      <c r="Z3" s="1"/>
    </row>
    <row r="4" spans="1:26" ht="15.75" customHeight="1">
      <c r="A4" s="1"/>
      <c r="B4" s="39"/>
      <c r="C4" s="40"/>
      <c r="D4" s="40"/>
      <c r="E4" s="40"/>
      <c r="F4" s="40"/>
      <c r="G4" s="40"/>
      <c r="H4" s="40"/>
      <c r="I4" s="41"/>
      <c r="J4" s="2"/>
      <c r="K4" s="2"/>
      <c r="L4" s="2"/>
      <c r="M4" s="2"/>
      <c r="N4" s="2"/>
      <c r="O4" s="2"/>
      <c r="P4" s="2"/>
      <c r="Q4" s="2"/>
      <c r="R4" s="1"/>
      <c r="S4" s="1"/>
      <c r="T4" s="1"/>
      <c r="U4" s="1"/>
      <c r="V4" s="1"/>
      <c r="W4" s="1"/>
      <c r="X4" s="1"/>
      <c r="Y4" s="1"/>
      <c r="Z4" s="1"/>
    </row>
    <row r="5" spans="1:26" ht="15.75" customHeight="1">
      <c r="A5" s="1"/>
      <c r="B5" s="3"/>
      <c r="C5" s="3"/>
      <c r="D5" s="3"/>
      <c r="E5" s="3"/>
      <c r="F5" s="3"/>
      <c r="G5" s="3"/>
      <c r="H5" s="3"/>
      <c r="I5" s="3"/>
      <c r="J5" s="2"/>
      <c r="K5" s="2"/>
      <c r="L5" s="2"/>
      <c r="M5" s="2"/>
      <c r="N5" s="2"/>
      <c r="O5" s="2"/>
      <c r="P5" s="2"/>
      <c r="Q5" s="2"/>
      <c r="R5" s="1"/>
      <c r="S5" s="1"/>
      <c r="T5" s="1"/>
      <c r="U5" s="1"/>
      <c r="V5" s="1"/>
      <c r="W5" s="1"/>
      <c r="X5" s="1"/>
      <c r="Y5" s="1"/>
      <c r="Z5" s="1"/>
    </row>
    <row r="6" spans="1:26" ht="18" customHeight="1">
      <c r="A6" s="1"/>
      <c r="B6" s="4" t="s">
        <v>69</v>
      </c>
      <c r="C6" s="5" t="s">
        <v>70</v>
      </c>
      <c r="D6" s="1"/>
      <c r="E6" s="1"/>
      <c r="F6" s="1"/>
      <c r="G6" s="1"/>
      <c r="H6" s="1"/>
      <c r="I6" s="1"/>
      <c r="J6" s="1"/>
      <c r="K6" s="1"/>
      <c r="L6" s="1"/>
      <c r="M6" s="1"/>
      <c r="N6" s="1"/>
      <c r="O6" s="1"/>
      <c r="P6" s="1"/>
      <c r="Q6" s="1"/>
      <c r="R6" s="1"/>
      <c r="S6" s="1"/>
      <c r="T6" s="1"/>
      <c r="U6" s="1"/>
      <c r="V6" s="1"/>
      <c r="W6" s="1"/>
      <c r="X6" s="1"/>
      <c r="Y6" s="1"/>
      <c r="Z6" s="1"/>
    </row>
    <row r="7" spans="1:26" ht="36" customHeight="1">
      <c r="A7" s="1"/>
      <c r="B7" s="6" t="s">
        <v>71</v>
      </c>
      <c r="C7" s="7" t="s">
        <v>72</v>
      </c>
      <c r="D7" s="1"/>
      <c r="E7" s="1"/>
      <c r="F7" s="1"/>
      <c r="G7" s="1"/>
      <c r="H7" s="1"/>
      <c r="I7" s="1"/>
      <c r="J7" s="1"/>
      <c r="K7" s="1"/>
      <c r="L7" s="1"/>
      <c r="M7" s="1"/>
      <c r="N7" s="1"/>
      <c r="O7" s="1"/>
      <c r="P7" s="1"/>
      <c r="Q7" s="1"/>
      <c r="R7" s="1"/>
      <c r="S7" s="1"/>
      <c r="T7" s="1"/>
      <c r="U7" s="1"/>
      <c r="V7" s="1"/>
      <c r="W7" s="1"/>
      <c r="X7" s="1"/>
      <c r="Y7" s="1"/>
      <c r="Z7" s="1"/>
    </row>
    <row r="8" spans="1:26" ht="37.5" customHeight="1">
      <c r="A8" s="1"/>
      <c r="B8" s="8" t="s">
        <v>73</v>
      </c>
      <c r="C8" s="7" t="s">
        <v>74</v>
      </c>
      <c r="D8" s="1"/>
      <c r="E8" s="1"/>
      <c r="F8" s="1"/>
      <c r="G8" s="1"/>
      <c r="H8" s="1"/>
      <c r="I8" s="1"/>
      <c r="J8" s="1"/>
      <c r="K8" s="1"/>
      <c r="L8" s="1"/>
      <c r="M8" s="1"/>
      <c r="N8" s="1"/>
      <c r="O8" s="1"/>
      <c r="P8" s="1"/>
      <c r="Q8" s="1"/>
      <c r="R8" s="1"/>
      <c r="S8" s="1"/>
      <c r="T8" s="1"/>
      <c r="U8" s="1"/>
      <c r="V8" s="1"/>
      <c r="W8" s="1"/>
      <c r="X8" s="1"/>
      <c r="Y8" s="1"/>
      <c r="Z8" s="1"/>
    </row>
    <row r="9" spans="1:26" ht="37.5" customHeight="1">
      <c r="A9" s="1"/>
      <c r="B9" s="8" t="s">
        <v>75</v>
      </c>
      <c r="C9" s="7" t="s">
        <v>76</v>
      </c>
      <c r="D9" s="1"/>
      <c r="E9" s="1"/>
      <c r="F9" s="1"/>
      <c r="G9" s="1"/>
      <c r="H9" s="1"/>
      <c r="I9" s="1"/>
      <c r="J9" s="1"/>
      <c r="K9" s="1"/>
      <c r="L9" s="1"/>
      <c r="M9" s="1"/>
      <c r="N9" s="1"/>
      <c r="O9" s="1"/>
      <c r="P9" s="1"/>
      <c r="Q9" s="1"/>
      <c r="R9" s="1"/>
      <c r="S9" s="1"/>
      <c r="T9" s="1"/>
      <c r="U9" s="1"/>
      <c r="V9" s="1"/>
      <c r="W9" s="1"/>
      <c r="X9" s="1"/>
      <c r="Y9" s="1"/>
      <c r="Z9" s="1"/>
    </row>
    <row r="10" spans="1:26" ht="37.5" customHeight="1">
      <c r="A10" s="1"/>
      <c r="B10" s="8" t="s">
        <v>77</v>
      </c>
      <c r="C10" s="7" t="s">
        <v>78</v>
      </c>
      <c r="D10" s="1"/>
      <c r="E10" s="1"/>
      <c r="F10" s="1"/>
      <c r="G10" s="1"/>
      <c r="H10" s="1"/>
      <c r="I10" s="1"/>
      <c r="J10" s="1"/>
      <c r="K10" s="1"/>
      <c r="L10" s="1"/>
      <c r="M10" s="1"/>
      <c r="N10" s="1"/>
      <c r="O10" s="1"/>
      <c r="P10" s="1"/>
      <c r="Q10" s="1"/>
      <c r="R10" s="1"/>
      <c r="S10" s="1"/>
      <c r="T10" s="1"/>
      <c r="U10" s="1"/>
      <c r="V10" s="1"/>
      <c r="W10" s="1"/>
      <c r="X10" s="1"/>
      <c r="Y10" s="1"/>
      <c r="Z10" s="1"/>
    </row>
    <row r="11" spans="1:26" ht="37.5" customHeight="1">
      <c r="A11" s="1"/>
      <c r="B11" s="8" t="s">
        <v>79</v>
      </c>
      <c r="C11" s="7" t="s">
        <v>80</v>
      </c>
      <c r="D11" s="1"/>
      <c r="E11" s="1"/>
      <c r="F11" s="1"/>
      <c r="G11" s="1"/>
      <c r="H11" s="1"/>
      <c r="I11" s="1"/>
      <c r="J11" s="1"/>
      <c r="K11" s="1"/>
      <c r="L11" s="1"/>
      <c r="M11" s="1"/>
      <c r="N11" s="1"/>
      <c r="O11" s="1"/>
      <c r="P11" s="1"/>
      <c r="Q11" s="1"/>
      <c r="R11" s="1"/>
      <c r="S11" s="1"/>
      <c r="T11" s="1"/>
      <c r="U11" s="1"/>
      <c r="V11" s="1"/>
      <c r="W11" s="1"/>
      <c r="X11" s="1"/>
      <c r="Y11" s="1"/>
      <c r="Z11" s="1"/>
    </row>
    <row r="12" spans="1:26" ht="37.5" customHeight="1">
      <c r="A12" s="1"/>
      <c r="B12" s="6" t="s">
        <v>81</v>
      </c>
      <c r="C12" s="7" t="s">
        <v>82</v>
      </c>
      <c r="D12" s="1"/>
      <c r="E12" s="1"/>
      <c r="F12" s="1"/>
      <c r="G12" s="1"/>
      <c r="H12" s="1"/>
      <c r="I12" s="1"/>
      <c r="J12" s="1"/>
      <c r="K12" s="1"/>
      <c r="L12" s="1"/>
      <c r="M12" s="1"/>
      <c r="N12" s="1"/>
      <c r="O12" s="1"/>
      <c r="P12" s="1"/>
      <c r="Q12" s="1"/>
      <c r="R12" s="1"/>
      <c r="S12" s="1"/>
      <c r="T12" s="1"/>
      <c r="U12" s="1"/>
      <c r="V12" s="1"/>
      <c r="W12" s="1"/>
      <c r="X12" s="1"/>
      <c r="Y12" s="1"/>
      <c r="Z12" s="1"/>
    </row>
    <row r="13" spans="1:26" ht="37.5" customHeight="1">
      <c r="A13" s="1"/>
      <c r="B13" s="8" t="s">
        <v>83</v>
      </c>
      <c r="C13" s="7" t="s">
        <v>84</v>
      </c>
      <c r="D13" s="1"/>
      <c r="E13" s="1"/>
      <c r="F13" s="1"/>
      <c r="G13" s="1"/>
      <c r="H13" s="1"/>
      <c r="I13" s="1"/>
      <c r="J13" s="1"/>
      <c r="K13" s="1"/>
      <c r="L13" s="1"/>
      <c r="M13" s="1"/>
      <c r="N13" s="1"/>
      <c r="O13" s="1"/>
      <c r="P13" s="1"/>
      <c r="Q13" s="1"/>
      <c r="R13" s="1"/>
      <c r="S13" s="1"/>
      <c r="T13" s="1"/>
      <c r="U13" s="1"/>
      <c r="V13" s="1"/>
      <c r="W13" s="1"/>
      <c r="X13" s="1"/>
      <c r="Y13" s="1"/>
      <c r="Z13" s="1"/>
    </row>
    <row r="14" spans="1:26" ht="36.75" customHeight="1">
      <c r="A14" s="1"/>
      <c r="B14" s="8" t="s">
        <v>85</v>
      </c>
      <c r="C14" s="7" t="s">
        <v>86</v>
      </c>
      <c r="D14" s="1"/>
      <c r="E14" s="1"/>
      <c r="F14" s="1"/>
      <c r="G14" s="1"/>
      <c r="H14" s="1"/>
      <c r="I14" s="1"/>
      <c r="J14" s="1"/>
      <c r="K14" s="1"/>
      <c r="L14" s="1"/>
      <c r="M14" s="1"/>
      <c r="N14" s="1"/>
      <c r="O14" s="1"/>
      <c r="P14" s="1"/>
      <c r="Q14" s="1"/>
      <c r="R14" s="1"/>
      <c r="S14" s="1"/>
      <c r="T14" s="1"/>
      <c r="U14" s="1"/>
      <c r="V14" s="1"/>
      <c r="W14" s="1"/>
      <c r="X14" s="1"/>
      <c r="Y14" s="1"/>
      <c r="Z14" s="1"/>
    </row>
    <row r="15" spans="1:26" ht="39.75" customHeight="1">
      <c r="A15" s="1"/>
      <c r="B15" s="8" t="s">
        <v>87</v>
      </c>
      <c r="C15" s="7" t="s">
        <v>88</v>
      </c>
      <c r="D15" s="1"/>
      <c r="E15" s="1"/>
      <c r="F15" s="1"/>
      <c r="G15" s="1"/>
      <c r="H15" s="1"/>
      <c r="I15" s="1"/>
      <c r="J15" s="1"/>
      <c r="K15" s="1"/>
      <c r="L15" s="1"/>
      <c r="M15" s="1"/>
      <c r="N15" s="1"/>
      <c r="O15" s="1"/>
      <c r="P15" s="1"/>
      <c r="Q15" s="1"/>
      <c r="R15" s="1"/>
      <c r="S15" s="1"/>
      <c r="T15" s="1"/>
      <c r="U15" s="1"/>
      <c r="V15" s="1"/>
      <c r="W15" s="1"/>
      <c r="X15" s="1"/>
      <c r="Y15" s="1"/>
      <c r="Z15" s="1"/>
    </row>
    <row r="16" spans="1:26" ht="40.5" customHeight="1">
      <c r="A16" s="1"/>
      <c r="B16" s="9" t="s">
        <v>89</v>
      </c>
      <c r="C16" s="10" t="s">
        <v>90</v>
      </c>
      <c r="D16" s="1"/>
      <c r="E16" s="1"/>
      <c r="F16" s="1"/>
      <c r="G16" s="1"/>
      <c r="H16" s="1"/>
      <c r="I16" s="1"/>
      <c r="J16" s="1"/>
      <c r="K16" s="1"/>
      <c r="L16" s="1"/>
      <c r="M16" s="1"/>
      <c r="N16" s="1"/>
      <c r="O16" s="1"/>
      <c r="P16" s="1"/>
      <c r="Q16" s="1"/>
      <c r="R16" s="1"/>
      <c r="S16" s="1"/>
      <c r="T16" s="1"/>
      <c r="U16" s="1"/>
      <c r="V16" s="1"/>
      <c r="W16" s="1"/>
      <c r="X16" s="1"/>
      <c r="Y16" s="1"/>
      <c r="Z16" s="1"/>
    </row>
    <row r="17" spans="1:26" ht="18" customHeight="1">
      <c r="A17" s="1"/>
      <c r="B17" s="11"/>
      <c r="C17" s="12"/>
      <c r="D17" s="1"/>
      <c r="E17" s="1"/>
      <c r="F17" s="1"/>
      <c r="G17" s="1"/>
      <c r="H17" s="1"/>
      <c r="I17" s="1"/>
      <c r="J17" s="1"/>
      <c r="K17" s="1"/>
      <c r="L17" s="1"/>
      <c r="M17" s="1"/>
      <c r="N17" s="1"/>
      <c r="O17" s="1"/>
      <c r="P17" s="1"/>
      <c r="Q17" s="1"/>
      <c r="R17" s="1"/>
      <c r="S17" s="1"/>
      <c r="T17" s="1"/>
      <c r="U17" s="1"/>
      <c r="V17" s="1"/>
      <c r="W17" s="1"/>
      <c r="X17" s="1"/>
      <c r="Y17" s="1"/>
      <c r="Z17" s="1"/>
    </row>
    <row r="18" spans="1:26" ht="16.5" customHeight="1">
      <c r="A18" s="1"/>
      <c r="B18" s="13"/>
      <c r="C18" s="13"/>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42" t="s">
        <v>91</v>
      </c>
      <c r="C19" s="34"/>
      <c r="D19" s="34"/>
      <c r="E19" s="34"/>
      <c r="F19" s="34"/>
      <c r="G19" s="34"/>
      <c r="H19" s="34"/>
      <c r="I19" s="35"/>
      <c r="J19" s="1"/>
      <c r="K19" s="1"/>
      <c r="L19" s="1"/>
      <c r="M19" s="1"/>
      <c r="N19" s="1"/>
      <c r="O19" s="1"/>
      <c r="P19" s="1"/>
      <c r="Q19" s="1"/>
      <c r="R19" s="1"/>
      <c r="S19" s="1"/>
      <c r="T19" s="1"/>
      <c r="U19" s="1"/>
      <c r="V19" s="1"/>
      <c r="W19" s="1"/>
      <c r="X19" s="1"/>
      <c r="Y19" s="1"/>
      <c r="Z19" s="1"/>
    </row>
    <row r="20" spans="1:26" ht="15.75" customHeight="1">
      <c r="A20" s="1"/>
      <c r="B20" s="36"/>
      <c r="C20" s="37"/>
      <c r="D20" s="37"/>
      <c r="E20" s="37"/>
      <c r="F20" s="37"/>
      <c r="G20" s="37"/>
      <c r="H20" s="37"/>
      <c r="I20" s="38"/>
      <c r="J20" s="1"/>
      <c r="K20" s="1"/>
      <c r="L20" s="1"/>
      <c r="M20" s="1"/>
      <c r="N20" s="1"/>
      <c r="O20" s="1"/>
      <c r="P20" s="1"/>
      <c r="Q20" s="1"/>
      <c r="R20" s="1"/>
      <c r="S20" s="1"/>
      <c r="T20" s="1"/>
      <c r="U20" s="1"/>
      <c r="V20" s="1"/>
      <c r="W20" s="1"/>
      <c r="X20" s="1"/>
      <c r="Y20" s="1"/>
      <c r="Z20" s="1"/>
    </row>
    <row r="21" spans="1:26" ht="15.75" customHeight="1">
      <c r="A21" s="1"/>
      <c r="B21" s="36"/>
      <c r="C21" s="37"/>
      <c r="D21" s="37"/>
      <c r="E21" s="37"/>
      <c r="F21" s="37"/>
      <c r="G21" s="37"/>
      <c r="H21" s="37"/>
      <c r="I21" s="38"/>
      <c r="J21" s="1"/>
      <c r="K21" s="1"/>
      <c r="L21" s="1"/>
      <c r="M21" s="1"/>
      <c r="N21" s="1"/>
      <c r="O21" s="1"/>
      <c r="P21" s="1"/>
      <c r="Q21" s="1"/>
      <c r="R21" s="1"/>
      <c r="S21" s="1"/>
      <c r="T21" s="1"/>
      <c r="U21" s="1"/>
      <c r="V21" s="1"/>
      <c r="W21" s="1"/>
      <c r="X21" s="1"/>
      <c r="Y21" s="1"/>
      <c r="Z21" s="1"/>
    </row>
    <row r="22" spans="1:26" ht="15.75" customHeight="1">
      <c r="A22" s="1"/>
      <c r="B22" s="36"/>
      <c r="C22" s="37"/>
      <c r="D22" s="37"/>
      <c r="E22" s="37"/>
      <c r="F22" s="37"/>
      <c r="G22" s="37"/>
      <c r="H22" s="37"/>
      <c r="I22" s="38"/>
      <c r="J22" s="1"/>
      <c r="K22" s="1"/>
      <c r="L22" s="1"/>
      <c r="M22" s="1"/>
      <c r="N22" s="1"/>
      <c r="O22" s="1"/>
      <c r="P22" s="1"/>
      <c r="Q22" s="1"/>
      <c r="R22" s="1"/>
      <c r="S22" s="1"/>
      <c r="T22" s="1"/>
      <c r="U22" s="1"/>
      <c r="V22" s="1"/>
      <c r="W22" s="1"/>
      <c r="X22" s="1"/>
      <c r="Y22" s="1"/>
      <c r="Z22" s="1"/>
    </row>
    <row r="23" spans="1:26" ht="16.5" customHeight="1">
      <c r="A23" s="1"/>
      <c r="B23" s="39"/>
      <c r="C23" s="40"/>
      <c r="D23" s="40"/>
      <c r="E23" s="40"/>
      <c r="F23" s="40"/>
      <c r="G23" s="40"/>
      <c r="H23" s="40"/>
      <c r="I23" s="41"/>
      <c r="J23" s="1"/>
      <c r="K23" s="1"/>
      <c r="L23" s="1"/>
      <c r="M23" s="1"/>
      <c r="N23" s="1"/>
      <c r="O23" s="1"/>
      <c r="P23" s="1"/>
      <c r="Q23" s="1"/>
      <c r="R23" s="1"/>
      <c r="S23" s="1"/>
      <c r="T23" s="1"/>
      <c r="U23" s="1"/>
      <c r="V23" s="1"/>
      <c r="W23" s="1"/>
      <c r="X23" s="1"/>
      <c r="Y23" s="1"/>
      <c r="Z23" s="1"/>
    </row>
    <row r="24" spans="1:26" ht="15.75" customHeight="1">
      <c r="A24" s="1"/>
      <c r="B24" s="13"/>
      <c r="C24" s="13"/>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3"/>
      <c r="C25" s="13"/>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3"/>
      <c r="C26" s="13"/>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3"/>
      <c r="C27" s="13"/>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3"/>
      <c r="C28" s="13"/>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3"/>
      <c r="C29" s="13"/>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3"/>
      <c r="C30" s="13"/>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2:I4"/>
    <mergeCell ref="B19:I2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1.25" defaultRowHeight="15" customHeight="1"/>
  <cols>
    <col min="1" max="1" width="1.25" customWidth="1"/>
    <col min="2" max="2" width="56.125" customWidth="1"/>
    <col min="3" max="3" width="87.125" customWidth="1"/>
    <col min="4" max="26" width="10.875" customWidth="1"/>
  </cols>
  <sheetData>
    <row r="1" spans="1:26" ht="6.75" customHeight="1">
      <c r="A1" s="1"/>
      <c r="B1" s="14"/>
      <c r="C1" s="14"/>
      <c r="D1" s="1"/>
      <c r="E1" s="1"/>
      <c r="F1" s="1"/>
      <c r="G1" s="1"/>
      <c r="H1" s="1"/>
      <c r="I1" s="1"/>
      <c r="J1" s="1"/>
      <c r="K1" s="1"/>
      <c r="L1" s="1"/>
      <c r="M1" s="1"/>
      <c r="N1" s="1"/>
      <c r="O1" s="1"/>
      <c r="P1" s="1"/>
      <c r="Q1" s="1"/>
      <c r="R1" s="1"/>
      <c r="S1" s="1"/>
      <c r="T1" s="1"/>
      <c r="U1" s="1"/>
      <c r="V1" s="1"/>
      <c r="W1" s="1"/>
      <c r="X1" s="1"/>
      <c r="Y1" s="1"/>
      <c r="Z1" s="1"/>
    </row>
    <row r="2" spans="1:26" ht="15.75" customHeight="1">
      <c r="A2" s="1"/>
      <c r="B2" s="15" t="s">
        <v>92</v>
      </c>
      <c r="C2" s="16" t="s">
        <v>70</v>
      </c>
      <c r="D2" s="1"/>
      <c r="E2" s="1"/>
      <c r="F2" s="1"/>
      <c r="G2" s="1"/>
      <c r="H2" s="1"/>
      <c r="I2" s="1"/>
      <c r="J2" s="1"/>
      <c r="K2" s="1"/>
      <c r="L2" s="1"/>
      <c r="M2" s="1"/>
      <c r="N2" s="1"/>
      <c r="O2" s="1"/>
      <c r="P2" s="1"/>
      <c r="Q2" s="1"/>
      <c r="R2" s="1"/>
      <c r="S2" s="1"/>
      <c r="T2" s="1"/>
      <c r="U2" s="1"/>
      <c r="V2" s="1"/>
      <c r="W2" s="1"/>
      <c r="X2" s="1"/>
      <c r="Y2" s="1"/>
      <c r="Z2" s="1"/>
    </row>
    <row r="3" spans="1:26" ht="16.5" customHeight="1">
      <c r="A3" s="1"/>
      <c r="B3" s="17"/>
      <c r="C3" s="18"/>
      <c r="D3" s="1"/>
      <c r="E3" s="1"/>
      <c r="F3" s="1"/>
      <c r="G3" s="1"/>
      <c r="H3" s="1"/>
      <c r="I3" s="1"/>
      <c r="J3" s="1"/>
      <c r="K3" s="1"/>
      <c r="L3" s="1"/>
      <c r="M3" s="1"/>
      <c r="N3" s="1"/>
      <c r="O3" s="1"/>
      <c r="P3" s="1"/>
      <c r="Q3" s="1"/>
      <c r="R3" s="1"/>
      <c r="S3" s="1"/>
      <c r="T3" s="1"/>
      <c r="U3" s="1"/>
      <c r="V3" s="1"/>
      <c r="W3" s="1"/>
      <c r="X3" s="1"/>
      <c r="Y3" s="1"/>
      <c r="Z3" s="1"/>
    </row>
    <row r="4" spans="1:26" ht="16.5" customHeight="1">
      <c r="A4" s="1"/>
      <c r="B4" s="48" t="s">
        <v>73</v>
      </c>
      <c r="C4" s="49"/>
      <c r="D4" s="1"/>
      <c r="E4" s="1"/>
      <c r="F4" s="1"/>
      <c r="G4" s="1"/>
      <c r="H4" s="1"/>
      <c r="I4" s="1"/>
      <c r="J4" s="1"/>
      <c r="K4" s="1"/>
      <c r="L4" s="1"/>
      <c r="M4" s="1"/>
      <c r="N4" s="1"/>
      <c r="O4" s="1"/>
      <c r="P4" s="1"/>
      <c r="Q4" s="1"/>
      <c r="R4" s="1"/>
      <c r="S4" s="1"/>
      <c r="T4" s="1"/>
      <c r="U4" s="1"/>
      <c r="V4" s="1"/>
      <c r="W4" s="1"/>
      <c r="X4" s="1"/>
      <c r="Y4" s="1"/>
      <c r="Z4" s="1"/>
    </row>
    <row r="5" spans="1:26" ht="15.75" customHeight="1">
      <c r="A5" s="1"/>
      <c r="B5" s="19" t="s">
        <v>93</v>
      </c>
      <c r="C5" s="20" t="s">
        <v>94</v>
      </c>
      <c r="D5" s="1"/>
      <c r="E5" s="1"/>
      <c r="F5" s="1"/>
      <c r="G5" s="1"/>
      <c r="H5" s="1"/>
      <c r="I5" s="1"/>
      <c r="J5" s="1"/>
      <c r="K5" s="1"/>
      <c r="L5" s="1"/>
      <c r="M5" s="1"/>
      <c r="N5" s="1"/>
      <c r="O5" s="1"/>
      <c r="P5" s="1"/>
      <c r="Q5" s="1"/>
      <c r="R5" s="1"/>
      <c r="S5" s="1"/>
      <c r="T5" s="1"/>
      <c r="U5" s="1"/>
      <c r="V5" s="1"/>
      <c r="W5" s="1"/>
      <c r="X5" s="1"/>
      <c r="Y5" s="1"/>
      <c r="Z5" s="1"/>
    </row>
    <row r="6" spans="1:26" ht="15.75" customHeight="1">
      <c r="A6" s="1"/>
      <c r="B6" s="21" t="s">
        <v>95</v>
      </c>
      <c r="C6" s="22" t="s">
        <v>96</v>
      </c>
      <c r="D6" s="1"/>
      <c r="E6" s="1"/>
      <c r="F6" s="1"/>
      <c r="G6" s="1"/>
      <c r="H6" s="1"/>
      <c r="I6" s="1"/>
      <c r="J6" s="1"/>
      <c r="K6" s="1"/>
      <c r="L6" s="1"/>
      <c r="M6" s="1"/>
      <c r="N6" s="1"/>
      <c r="O6" s="1"/>
      <c r="P6" s="1"/>
      <c r="Q6" s="1"/>
      <c r="R6" s="1"/>
      <c r="S6" s="1"/>
      <c r="T6" s="1"/>
      <c r="U6" s="1"/>
      <c r="V6" s="1"/>
      <c r="W6" s="1"/>
      <c r="X6" s="1"/>
      <c r="Y6" s="1"/>
      <c r="Z6" s="1"/>
    </row>
    <row r="7" spans="1:26" ht="15.75" customHeight="1">
      <c r="A7" s="1"/>
      <c r="B7" s="21" t="s">
        <v>97</v>
      </c>
      <c r="C7" s="22" t="s">
        <v>98</v>
      </c>
      <c r="D7" s="1"/>
      <c r="E7" s="1"/>
      <c r="F7" s="1"/>
      <c r="G7" s="1"/>
      <c r="H7" s="1"/>
      <c r="I7" s="1"/>
      <c r="J7" s="1"/>
      <c r="K7" s="1"/>
      <c r="L7" s="1"/>
      <c r="M7" s="1"/>
      <c r="N7" s="1"/>
      <c r="O7" s="1"/>
      <c r="P7" s="1"/>
      <c r="Q7" s="1"/>
      <c r="R7" s="1"/>
      <c r="S7" s="1"/>
      <c r="T7" s="1"/>
      <c r="U7" s="1"/>
      <c r="V7" s="1"/>
      <c r="W7" s="1"/>
      <c r="X7" s="1"/>
      <c r="Y7" s="1"/>
      <c r="Z7" s="1"/>
    </row>
    <row r="8" spans="1:26" ht="15.75" customHeight="1">
      <c r="A8" s="1"/>
      <c r="B8" s="21" t="s">
        <v>99</v>
      </c>
      <c r="C8" s="22" t="s">
        <v>100</v>
      </c>
      <c r="D8" s="1"/>
      <c r="E8" s="1"/>
      <c r="F8" s="1"/>
      <c r="G8" s="1"/>
      <c r="H8" s="1"/>
      <c r="I8" s="1"/>
      <c r="J8" s="1"/>
      <c r="K8" s="1"/>
      <c r="L8" s="1"/>
      <c r="M8" s="1"/>
      <c r="N8" s="1"/>
      <c r="O8" s="1"/>
      <c r="P8" s="1"/>
      <c r="Q8" s="1"/>
      <c r="R8" s="1"/>
      <c r="S8" s="1"/>
      <c r="T8" s="1"/>
      <c r="U8" s="1"/>
      <c r="V8" s="1"/>
      <c r="W8" s="1"/>
      <c r="X8" s="1"/>
      <c r="Y8" s="1"/>
      <c r="Z8" s="1"/>
    </row>
    <row r="9" spans="1:26" ht="15.75" customHeight="1">
      <c r="A9" s="1"/>
      <c r="B9" s="21" t="s">
        <v>101</v>
      </c>
      <c r="C9" s="22" t="s">
        <v>102</v>
      </c>
      <c r="D9" s="1"/>
      <c r="E9" s="1"/>
      <c r="F9" s="1"/>
      <c r="G9" s="1"/>
      <c r="H9" s="1"/>
      <c r="I9" s="1"/>
      <c r="J9" s="1"/>
      <c r="K9" s="1"/>
      <c r="L9" s="1"/>
      <c r="M9" s="1"/>
      <c r="N9" s="1"/>
      <c r="O9" s="1"/>
      <c r="P9" s="1"/>
      <c r="Q9" s="1"/>
      <c r="R9" s="1"/>
      <c r="S9" s="1"/>
      <c r="T9" s="1"/>
      <c r="U9" s="1"/>
      <c r="V9" s="1"/>
      <c r="W9" s="1"/>
      <c r="X9" s="1"/>
      <c r="Y9" s="1"/>
      <c r="Z9" s="1"/>
    </row>
    <row r="10" spans="1:26" ht="15.75" customHeight="1">
      <c r="A10" s="1"/>
      <c r="B10" s="21" t="s">
        <v>103</v>
      </c>
      <c r="C10" s="22" t="s">
        <v>104</v>
      </c>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21" t="s">
        <v>105</v>
      </c>
      <c r="C11" s="22" t="s">
        <v>106</v>
      </c>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21" t="s">
        <v>107</v>
      </c>
      <c r="C12" s="22" t="s">
        <v>108</v>
      </c>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21" t="s">
        <v>3</v>
      </c>
      <c r="C13" s="22" t="s">
        <v>109</v>
      </c>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21" t="s">
        <v>110</v>
      </c>
      <c r="C14" s="22" t="s">
        <v>111</v>
      </c>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21" t="s">
        <v>112</v>
      </c>
      <c r="C15" s="22" t="s">
        <v>113</v>
      </c>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21" t="s">
        <v>4</v>
      </c>
      <c r="C16" s="22" t="s">
        <v>114</v>
      </c>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21" t="s">
        <v>5</v>
      </c>
      <c r="C17" s="22" t="s">
        <v>115</v>
      </c>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21" t="s">
        <v>6</v>
      </c>
      <c r="C18" s="22" t="s">
        <v>116</v>
      </c>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21" t="s">
        <v>117</v>
      </c>
      <c r="C19" s="22" t="s">
        <v>118</v>
      </c>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21" t="s">
        <v>119</v>
      </c>
      <c r="C20" s="22" t="s">
        <v>120</v>
      </c>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21" t="s">
        <v>121</v>
      </c>
      <c r="C21" s="22" t="s">
        <v>122</v>
      </c>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21" t="s">
        <v>123</v>
      </c>
      <c r="C22" s="22" t="s">
        <v>124</v>
      </c>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21" t="s">
        <v>125</v>
      </c>
      <c r="C23" s="22" t="s">
        <v>126</v>
      </c>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21" t="s">
        <v>127</v>
      </c>
      <c r="C24" s="22" t="s">
        <v>128</v>
      </c>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21" t="s">
        <v>129</v>
      </c>
      <c r="C25" s="22" t="s">
        <v>130</v>
      </c>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21" t="s">
        <v>131</v>
      </c>
      <c r="C26" s="22" t="s">
        <v>132</v>
      </c>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21" t="s">
        <v>133</v>
      </c>
      <c r="C27" s="22" t="s">
        <v>134</v>
      </c>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21" t="s">
        <v>135</v>
      </c>
      <c r="C28" s="22" t="s">
        <v>136</v>
      </c>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21" t="s">
        <v>137</v>
      </c>
      <c r="C29" s="22" t="s">
        <v>138</v>
      </c>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21" t="s">
        <v>139</v>
      </c>
      <c r="C30" s="22" t="s">
        <v>140</v>
      </c>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21" t="s">
        <v>141</v>
      </c>
      <c r="C31" s="22" t="s">
        <v>142</v>
      </c>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21" t="s">
        <v>143</v>
      </c>
      <c r="C32" s="22" t="s">
        <v>144</v>
      </c>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21" t="s">
        <v>145</v>
      </c>
      <c r="C33" s="22" t="s">
        <v>146</v>
      </c>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21" t="s">
        <v>147</v>
      </c>
      <c r="C34" s="22" t="s">
        <v>148</v>
      </c>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21" t="s">
        <v>149</v>
      </c>
      <c r="C35" s="22" t="s">
        <v>150</v>
      </c>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21" t="s">
        <v>151</v>
      </c>
      <c r="C36" s="22" t="s">
        <v>152</v>
      </c>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21" t="s">
        <v>11</v>
      </c>
      <c r="C37" s="22" t="s">
        <v>153</v>
      </c>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21" t="s">
        <v>13</v>
      </c>
      <c r="C38" s="22" t="s">
        <v>154</v>
      </c>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21" t="s">
        <v>155</v>
      </c>
      <c r="C39" s="22" t="s">
        <v>156</v>
      </c>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21" t="s">
        <v>157</v>
      </c>
      <c r="C40" s="22" t="s">
        <v>158</v>
      </c>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21" t="s">
        <v>159</v>
      </c>
      <c r="C41" s="22" t="s">
        <v>160</v>
      </c>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21" t="s">
        <v>161</v>
      </c>
      <c r="C42" s="22" t="s">
        <v>162</v>
      </c>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21" t="s">
        <v>163</v>
      </c>
      <c r="C43" s="22" t="s">
        <v>164</v>
      </c>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21" t="s">
        <v>23</v>
      </c>
      <c r="C44" s="22" t="s">
        <v>165</v>
      </c>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3" t="s">
        <v>166</v>
      </c>
      <c r="C45" s="24" t="s">
        <v>167</v>
      </c>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14"/>
      <c r="C46" s="14"/>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47" t="s">
        <v>75</v>
      </c>
      <c r="C47" s="44"/>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25" t="s">
        <v>168</v>
      </c>
      <c r="C48" s="26" t="s">
        <v>96</v>
      </c>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21" t="s">
        <v>169</v>
      </c>
      <c r="C49" s="22" t="s">
        <v>170</v>
      </c>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21" t="s">
        <v>171</v>
      </c>
      <c r="C50" s="22" t="s">
        <v>115</v>
      </c>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21" t="s">
        <v>172</v>
      </c>
      <c r="C51" s="22" t="s">
        <v>173</v>
      </c>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21" t="s">
        <v>174</v>
      </c>
      <c r="C52" s="22" t="s">
        <v>175</v>
      </c>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21" t="s">
        <v>176</v>
      </c>
      <c r="C53" s="22" t="s">
        <v>177</v>
      </c>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21" t="s">
        <v>161</v>
      </c>
      <c r="C54" s="22" t="s">
        <v>162</v>
      </c>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21" t="s">
        <v>178</v>
      </c>
      <c r="C55" s="22" t="s">
        <v>179</v>
      </c>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3" t="s">
        <v>163</v>
      </c>
      <c r="C56" s="24" t="s">
        <v>164</v>
      </c>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14"/>
      <c r="C57" s="14"/>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47" t="s">
        <v>77</v>
      </c>
      <c r="C58" s="44"/>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25" t="s">
        <v>95</v>
      </c>
      <c r="C59" s="26" t="s">
        <v>96</v>
      </c>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21" t="s">
        <v>180</v>
      </c>
      <c r="C60" s="22" t="s">
        <v>181</v>
      </c>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3" t="s">
        <v>182</v>
      </c>
      <c r="C61" s="24" t="s">
        <v>183</v>
      </c>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14"/>
      <c r="C62" s="14"/>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47" t="s">
        <v>184</v>
      </c>
      <c r="C63" s="44"/>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25" t="s">
        <v>97</v>
      </c>
      <c r="C64" s="26" t="s">
        <v>98</v>
      </c>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21" t="s">
        <v>99</v>
      </c>
      <c r="C65" s="22" t="s">
        <v>100</v>
      </c>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21" t="s">
        <v>185</v>
      </c>
      <c r="C66" s="22" t="s">
        <v>186</v>
      </c>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21" t="s">
        <v>187</v>
      </c>
      <c r="C67" s="22" t="s">
        <v>188</v>
      </c>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3" t="s">
        <v>189</v>
      </c>
      <c r="C68" s="24" t="s">
        <v>190</v>
      </c>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14"/>
      <c r="C69" s="14"/>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43" t="s">
        <v>81</v>
      </c>
      <c r="C70" s="44"/>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25" t="s">
        <v>191</v>
      </c>
      <c r="C71" s="26" t="s">
        <v>192</v>
      </c>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21" t="s">
        <v>193</v>
      </c>
      <c r="C72" s="22" t="s">
        <v>194</v>
      </c>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21" t="s">
        <v>195</v>
      </c>
      <c r="C73" s="22" t="s">
        <v>196</v>
      </c>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21" t="s">
        <v>197</v>
      </c>
      <c r="C74" s="22" t="s">
        <v>198</v>
      </c>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21" t="s">
        <v>199</v>
      </c>
      <c r="C75" s="22" t="s">
        <v>200</v>
      </c>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21" t="s">
        <v>201</v>
      </c>
      <c r="C76" s="22" t="s">
        <v>202</v>
      </c>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21" t="s">
        <v>203</v>
      </c>
      <c r="C77" s="22" t="s">
        <v>204</v>
      </c>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21" t="s">
        <v>205</v>
      </c>
      <c r="C78" s="22" t="s">
        <v>206</v>
      </c>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21" t="s">
        <v>207</v>
      </c>
      <c r="C79" s="22" t="s">
        <v>208</v>
      </c>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21" t="s">
        <v>209</v>
      </c>
      <c r="C80" s="22" t="s">
        <v>210</v>
      </c>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21" t="s">
        <v>211</v>
      </c>
      <c r="C81" s="22" t="s">
        <v>212</v>
      </c>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21" t="s">
        <v>213</v>
      </c>
      <c r="C82" s="22" t="s">
        <v>214</v>
      </c>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21" t="s">
        <v>215</v>
      </c>
      <c r="C83" s="22" t="s">
        <v>216</v>
      </c>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21" t="s">
        <v>217</v>
      </c>
      <c r="C84" s="22" t="s">
        <v>218</v>
      </c>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21" t="s">
        <v>219</v>
      </c>
      <c r="C85" s="22" t="s">
        <v>220</v>
      </c>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21" t="s">
        <v>221</v>
      </c>
      <c r="C86" s="22" t="s">
        <v>222</v>
      </c>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21" t="s">
        <v>223</v>
      </c>
      <c r="C87" s="22" t="s">
        <v>224</v>
      </c>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21" t="s">
        <v>225</v>
      </c>
      <c r="C88" s="22" t="s">
        <v>226</v>
      </c>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3" t="s">
        <v>227</v>
      </c>
      <c r="C89" s="24" t="s">
        <v>228</v>
      </c>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14"/>
      <c r="C90" s="14"/>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43" t="s">
        <v>83</v>
      </c>
      <c r="C91" s="44"/>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25" t="s">
        <v>191</v>
      </c>
      <c r="C92" s="26" t="s">
        <v>192</v>
      </c>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21" t="s">
        <v>229</v>
      </c>
      <c r="C93" s="22" t="s">
        <v>230</v>
      </c>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21" t="s">
        <v>193</v>
      </c>
      <c r="C94" s="22" t="s">
        <v>194</v>
      </c>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21" t="s">
        <v>197</v>
      </c>
      <c r="C95" s="22" t="s">
        <v>198</v>
      </c>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21" t="s">
        <v>231</v>
      </c>
      <c r="C96" s="22" t="s">
        <v>232</v>
      </c>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21" t="s">
        <v>201</v>
      </c>
      <c r="C97" s="22" t="s">
        <v>202</v>
      </c>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21" t="s">
        <v>233</v>
      </c>
      <c r="C98" s="22" t="s">
        <v>234</v>
      </c>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21" t="s">
        <v>235</v>
      </c>
      <c r="C99" s="22" t="s">
        <v>236</v>
      </c>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21" t="s">
        <v>237</v>
      </c>
      <c r="C100" s="22" t="s">
        <v>238</v>
      </c>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21" t="s">
        <v>203</v>
      </c>
      <c r="C101" s="22" t="s">
        <v>204</v>
      </c>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21" t="s">
        <v>239</v>
      </c>
      <c r="C102" s="22" t="s">
        <v>240</v>
      </c>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21" t="s">
        <v>13</v>
      </c>
      <c r="C103" s="22" t="s">
        <v>241</v>
      </c>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21" t="s">
        <v>242</v>
      </c>
      <c r="C104" s="22" t="s">
        <v>243</v>
      </c>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21" t="s">
        <v>244</v>
      </c>
      <c r="C105" s="22" t="s">
        <v>245</v>
      </c>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21" t="s">
        <v>246</v>
      </c>
      <c r="C106" s="22" t="s">
        <v>247</v>
      </c>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21" t="s">
        <v>248</v>
      </c>
      <c r="C107" s="22" t="s">
        <v>249</v>
      </c>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21" t="s">
        <v>250</v>
      </c>
      <c r="C108" s="22" t="s">
        <v>251</v>
      </c>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21" t="s">
        <v>252</v>
      </c>
      <c r="C109" s="22" t="s">
        <v>253</v>
      </c>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21" t="s">
        <v>207</v>
      </c>
      <c r="C110" s="22" t="s">
        <v>208</v>
      </c>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21" t="s">
        <v>209</v>
      </c>
      <c r="C111" s="22" t="s">
        <v>210</v>
      </c>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21" t="s">
        <v>254</v>
      </c>
      <c r="C112" s="22" t="s">
        <v>255</v>
      </c>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21" t="s">
        <v>256</v>
      </c>
      <c r="C113" s="22" t="s">
        <v>257</v>
      </c>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21" t="s">
        <v>258</v>
      </c>
      <c r="C114" s="22" t="s">
        <v>259</v>
      </c>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21" t="s">
        <v>260</v>
      </c>
      <c r="C115" s="22" t="s">
        <v>261</v>
      </c>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21" t="s">
        <v>211</v>
      </c>
      <c r="C116" s="22" t="s">
        <v>212</v>
      </c>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21" t="s">
        <v>262</v>
      </c>
      <c r="C117" s="22" t="s">
        <v>263</v>
      </c>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21" t="s">
        <v>264</v>
      </c>
      <c r="C118" s="22" t="s">
        <v>265</v>
      </c>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21" t="s">
        <v>266</v>
      </c>
      <c r="C119" s="22" t="s">
        <v>267</v>
      </c>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21" t="s">
        <v>213</v>
      </c>
      <c r="C120" s="22" t="s">
        <v>214</v>
      </c>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21" t="s">
        <v>268</v>
      </c>
      <c r="C121" s="22" t="s">
        <v>269</v>
      </c>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21" t="s">
        <v>270</v>
      </c>
      <c r="C122" s="22" t="s">
        <v>271</v>
      </c>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21" t="s">
        <v>272</v>
      </c>
      <c r="C123" s="22" t="s">
        <v>273</v>
      </c>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23" t="s">
        <v>274</v>
      </c>
      <c r="C124" s="27" t="s">
        <v>275</v>
      </c>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14"/>
      <c r="C125" s="14"/>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45" t="s">
        <v>85</v>
      </c>
      <c r="C126" s="46"/>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9" t="s">
        <v>191</v>
      </c>
      <c r="C127" s="20" t="s">
        <v>192</v>
      </c>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21" t="s">
        <v>229</v>
      </c>
      <c r="C128" s="22" t="s">
        <v>230</v>
      </c>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21" t="s">
        <v>193</v>
      </c>
      <c r="C129" s="22" t="s">
        <v>194</v>
      </c>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21" t="s">
        <v>197</v>
      </c>
      <c r="C130" s="22" t="s">
        <v>198</v>
      </c>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21" t="s">
        <v>231</v>
      </c>
      <c r="C131" s="22" t="s">
        <v>232</v>
      </c>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21" t="s">
        <v>201</v>
      </c>
      <c r="C132" s="22" t="s">
        <v>202</v>
      </c>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21" t="s">
        <v>276</v>
      </c>
      <c r="C133" s="22" t="s">
        <v>234</v>
      </c>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21" t="s">
        <v>235</v>
      </c>
      <c r="C134" s="22" t="s">
        <v>236</v>
      </c>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21" t="s">
        <v>277</v>
      </c>
      <c r="C135" s="22" t="s">
        <v>278</v>
      </c>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21" t="s">
        <v>237</v>
      </c>
      <c r="C136" s="22" t="s">
        <v>238</v>
      </c>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21" t="s">
        <v>203</v>
      </c>
      <c r="C137" s="22" t="s">
        <v>204</v>
      </c>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21" t="s">
        <v>239</v>
      </c>
      <c r="C138" s="22" t="s">
        <v>240</v>
      </c>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21" t="s">
        <v>13</v>
      </c>
      <c r="C139" s="22" t="s">
        <v>241</v>
      </c>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21" t="s">
        <v>242</v>
      </c>
      <c r="C140" s="22" t="s">
        <v>243</v>
      </c>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21" t="s">
        <v>244</v>
      </c>
      <c r="C141" s="22" t="s">
        <v>245</v>
      </c>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21" t="s">
        <v>246</v>
      </c>
      <c r="C142" s="22" t="s">
        <v>247</v>
      </c>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21" t="s">
        <v>248</v>
      </c>
      <c r="C143" s="22" t="s">
        <v>249</v>
      </c>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21" t="s">
        <v>279</v>
      </c>
      <c r="C144" s="22" t="s">
        <v>280</v>
      </c>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21" t="s">
        <v>252</v>
      </c>
      <c r="C145" s="22" t="s">
        <v>253</v>
      </c>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21" t="s">
        <v>207</v>
      </c>
      <c r="C146" s="22" t="s">
        <v>208</v>
      </c>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21" t="s">
        <v>209</v>
      </c>
      <c r="C147" s="22" t="s">
        <v>210</v>
      </c>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21" t="s">
        <v>281</v>
      </c>
      <c r="C148" s="22" t="s">
        <v>282</v>
      </c>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21" t="s">
        <v>283</v>
      </c>
      <c r="C149" s="22" t="s">
        <v>257</v>
      </c>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21" t="s">
        <v>284</v>
      </c>
      <c r="C150" s="22" t="s">
        <v>285</v>
      </c>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21" t="s">
        <v>260</v>
      </c>
      <c r="C151" s="22" t="s">
        <v>261</v>
      </c>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21" t="s">
        <v>211</v>
      </c>
      <c r="C152" s="22" t="s">
        <v>212</v>
      </c>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21" t="s">
        <v>286</v>
      </c>
      <c r="C153" s="22" t="s">
        <v>287</v>
      </c>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21" t="s">
        <v>288</v>
      </c>
      <c r="C154" s="22" t="s">
        <v>289</v>
      </c>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21" t="s">
        <v>266</v>
      </c>
      <c r="C155" s="22" t="s">
        <v>267</v>
      </c>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21" t="s">
        <v>213</v>
      </c>
      <c r="C156" s="22" t="s">
        <v>214</v>
      </c>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21" t="s">
        <v>290</v>
      </c>
      <c r="C157" s="22" t="s">
        <v>291</v>
      </c>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21" t="s">
        <v>292</v>
      </c>
      <c r="C158" s="22" t="s">
        <v>293</v>
      </c>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21" t="s">
        <v>294</v>
      </c>
      <c r="C159" s="22" t="s">
        <v>295</v>
      </c>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23" t="s">
        <v>296</v>
      </c>
      <c r="C160" s="27" t="s">
        <v>297</v>
      </c>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14"/>
      <c r="C161" s="14"/>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45" t="s">
        <v>87</v>
      </c>
      <c r="C162" s="46"/>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9" t="s">
        <v>191</v>
      </c>
      <c r="C163" s="20" t="s">
        <v>192</v>
      </c>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21" t="s">
        <v>298</v>
      </c>
      <c r="C164" s="22" t="s">
        <v>299</v>
      </c>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21" t="s">
        <v>203</v>
      </c>
      <c r="C165" s="22" t="s">
        <v>204</v>
      </c>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21" t="s">
        <v>201</v>
      </c>
      <c r="C166" s="22" t="s">
        <v>202</v>
      </c>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21" t="s">
        <v>231</v>
      </c>
      <c r="C167" s="22" t="s">
        <v>194</v>
      </c>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21" t="s">
        <v>193</v>
      </c>
      <c r="C168" s="22" t="s">
        <v>196</v>
      </c>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21" t="s">
        <v>195</v>
      </c>
      <c r="C169" s="22" t="s">
        <v>196</v>
      </c>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21" t="s">
        <v>300</v>
      </c>
      <c r="C170" s="22" t="s">
        <v>301</v>
      </c>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21" t="s">
        <v>302</v>
      </c>
      <c r="C171" s="22" t="s">
        <v>208</v>
      </c>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21" t="s">
        <v>303</v>
      </c>
      <c r="C172" s="22" t="s">
        <v>210</v>
      </c>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21" t="s">
        <v>11</v>
      </c>
      <c r="C173" s="22" t="s">
        <v>304</v>
      </c>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21" t="s">
        <v>211</v>
      </c>
      <c r="C174" s="22" t="s">
        <v>212</v>
      </c>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21" t="s">
        <v>305</v>
      </c>
      <c r="C175" s="22" t="s">
        <v>216</v>
      </c>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21" t="s">
        <v>213</v>
      </c>
      <c r="C176" s="22" t="s">
        <v>214</v>
      </c>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21" t="s">
        <v>217</v>
      </c>
      <c r="C177" s="22" t="s">
        <v>218</v>
      </c>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21" t="s">
        <v>306</v>
      </c>
      <c r="C178" s="22" t="s">
        <v>307</v>
      </c>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21" t="s">
        <v>308</v>
      </c>
      <c r="C179" s="22" t="s">
        <v>309</v>
      </c>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21" t="s">
        <v>310</v>
      </c>
      <c r="C180" s="22" t="s">
        <v>222</v>
      </c>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21" t="s">
        <v>311</v>
      </c>
      <c r="C181" s="22" t="s">
        <v>224</v>
      </c>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21" t="s">
        <v>312</v>
      </c>
      <c r="C182" s="22" t="s">
        <v>226</v>
      </c>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21" t="s">
        <v>313</v>
      </c>
      <c r="C183" s="22" t="s">
        <v>228</v>
      </c>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21" t="s">
        <v>314</v>
      </c>
      <c r="C184" s="22" t="s">
        <v>315</v>
      </c>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23" t="s">
        <v>316</v>
      </c>
      <c r="C185" s="27" t="s">
        <v>317</v>
      </c>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14"/>
      <c r="C186" s="14"/>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43" t="s">
        <v>89</v>
      </c>
      <c r="C187" s="44"/>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25" t="s">
        <v>191</v>
      </c>
      <c r="C188" s="26" t="s">
        <v>192</v>
      </c>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21" t="s">
        <v>193</v>
      </c>
      <c r="C189" s="22" t="s">
        <v>194</v>
      </c>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21" t="s">
        <v>195</v>
      </c>
      <c r="C190" s="22" t="s">
        <v>196</v>
      </c>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21" t="s">
        <v>197</v>
      </c>
      <c r="C191" s="22" t="s">
        <v>198</v>
      </c>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21" t="s">
        <v>199</v>
      </c>
      <c r="C192" s="22" t="s">
        <v>318</v>
      </c>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21" t="s">
        <v>201</v>
      </c>
      <c r="C193" s="22" t="s">
        <v>202</v>
      </c>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21" t="s">
        <v>203</v>
      </c>
      <c r="C194" s="22" t="s">
        <v>204</v>
      </c>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21" t="s">
        <v>205</v>
      </c>
      <c r="C195" s="22" t="s">
        <v>206</v>
      </c>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21" t="s">
        <v>207</v>
      </c>
      <c r="C196" s="22" t="s">
        <v>208</v>
      </c>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21" t="s">
        <v>209</v>
      </c>
      <c r="C197" s="22" t="s">
        <v>210</v>
      </c>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21" t="s">
        <v>211</v>
      </c>
      <c r="C198" s="22" t="s">
        <v>212</v>
      </c>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21" t="s">
        <v>213</v>
      </c>
      <c r="C199" s="22" t="s">
        <v>214</v>
      </c>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21" t="s">
        <v>215</v>
      </c>
      <c r="C200" s="22" t="s">
        <v>216</v>
      </c>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21" t="s">
        <v>217</v>
      </c>
      <c r="C201" s="22" t="s">
        <v>218</v>
      </c>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21" t="s">
        <v>219</v>
      </c>
      <c r="C202" s="22" t="s">
        <v>220</v>
      </c>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21" t="s">
        <v>221</v>
      </c>
      <c r="C203" s="22" t="s">
        <v>222</v>
      </c>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21" t="s">
        <v>223</v>
      </c>
      <c r="C204" s="22" t="s">
        <v>224</v>
      </c>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21" t="s">
        <v>225</v>
      </c>
      <c r="C205" s="22" t="s">
        <v>226</v>
      </c>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3" t="s">
        <v>227</v>
      </c>
      <c r="C206" s="24" t="s">
        <v>228</v>
      </c>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4"/>
      <c r="C207" s="14"/>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4"/>
      <c r="C208" s="14"/>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4"/>
      <c r="C209" s="14"/>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4"/>
      <c r="C210" s="14"/>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4"/>
      <c r="C211" s="14"/>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4"/>
      <c r="C212" s="14"/>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4"/>
      <c r="C213" s="14"/>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4"/>
      <c r="C214" s="14"/>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4"/>
      <c r="C215" s="14"/>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4"/>
      <c r="C216" s="14"/>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4"/>
      <c r="C217" s="14"/>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4"/>
      <c r="C218" s="14"/>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4"/>
      <c r="C219" s="14"/>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4"/>
      <c r="C220" s="14"/>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4"/>
      <c r="C221" s="14"/>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4"/>
      <c r="C222" s="14"/>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4"/>
      <c r="C223" s="14"/>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4"/>
      <c r="C224" s="14"/>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4"/>
      <c r="C225" s="14"/>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4"/>
      <c r="C226" s="14"/>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4"/>
      <c r="C227" s="14"/>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4"/>
      <c r="C228" s="14"/>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4"/>
      <c r="C229" s="14"/>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4"/>
      <c r="C230" s="14"/>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4"/>
      <c r="C231" s="14"/>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4"/>
      <c r="C232" s="14"/>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4"/>
      <c r="C233" s="14"/>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4"/>
      <c r="C234" s="14"/>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4"/>
      <c r="C235" s="14"/>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4"/>
      <c r="C236" s="14"/>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4"/>
      <c r="C237" s="14"/>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4"/>
      <c r="C238" s="14"/>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4"/>
      <c r="C239" s="14"/>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4"/>
      <c r="C240" s="14"/>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4"/>
      <c r="C241" s="14"/>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4"/>
      <c r="C242" s="14"/>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4"/>
      <c r="C243" s="14"/>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4"/>
      <c r="C244" s="14"/>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4"/>
      <c r="C245" s="14"/>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4"/>
      <c r="C246" s="14"/>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4"/>
      <c r="C247" s="14"/>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4"/>
      <c r="C248" s="14"/>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4"/>
      <c r="C249" s="14"/>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4"/>
      <c r="C250" s="14"/>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4"/>
      <c r="C251" s="14"/>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4"/>
      <c r="C252" s="14"/>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4"/>
      <c r="C253" s="14"/>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4"/>
      <c r="C254" s="14"/>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4"/>
      <c r="C255" s="14"/>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4"/>
      <c r="C256" s="14"/>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4"/>
      <c r="C257" s="14"/>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4"/>
      <c r="C258" s="14"/>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4"/>
      <c r="C259" s="14"/>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4"/>
      <c r="C260" s="14"/>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4"/>
      <c r="C261" s="14"/>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4"/>
      <c r="C262" s="14"/>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4"/>
      <c r="C263" s="14"/>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4"/>
      <c r="C264" s="14"/>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4"/>
      <c r="C265" s="14"/>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4"/>
      <c r="C266" s="14"/>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4"/>
      <c r="C267" s="14"/>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4"/>
      <c r="C268" s="14"/>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4"/>
      <c r="C269" s="14"/>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4"/>
      <c r="C270" s="14"/>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4"/>
      <c r="C271" s="14"/>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4"/>
      <c r="C272" s="14"/>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4"/>
      <c r="C273" s="14"/>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4"/>
      <c r="C274" s="14"/>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4"/>
      <c r="C275" s="14"/>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4"/>
      <c r="C276" s="14"/>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4"/>
      <c r="C277" s="14"/>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4"/>
      <c r="C278" s="14"/>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4"/>
      <c r="C279" s="14"/>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4"/>
      <c r="C280" s="14"/>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4"/>
      <c r="C281" s="14"/>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4"/>
      <c r="C282" s="14"/>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4"/>
      <c r="C283" s="14"/>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4"/>
      <c r="C284" s="14"/>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4"/>
      <c r="C285" s="14"/>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4"/>
      <c r="C286" s="14"/>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4"/>
      <c r="C287" s="14"/>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4"/>
      <c r="C288" s="14"/>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4"/>
      <c r="C289" s="14"/>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4"/>
      <c r="C290" s="14"/>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4"/>
      <c r="C291" s="14"/>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4"/>
      <c r="C292" s="14"/>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4"/>
      <c r="C293" s="14"/>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4"/>
      <c r="C294" s="14"/>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4"/>
      <c r="C295" s="14"/>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4"/>
      <c r="C296" s="14"/>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4"/>
      <c r="C297" s="14"/>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4"/>
      <c r="C298" s="14"/>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4"/>
      <c r="C299" s="14"/>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4"/>
      <c r="C300" s="14"/>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4"/>
      <c r="C301" s="14"/>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4"/>
      <c r="C302" s="14"/>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4"/>
      <c r="C303" s="14"/>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4"/>
      <c r="C304" s="14"/>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4"/>
      <c r="C305" s="14"/>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4"/>
      <c r="C306" s="14"/>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4"/>
      <c r="C307" s="14"/>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4"/>
      <c r="C308" s="14"/>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4"/>
      <c r="C309" s="14"/>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4"/>
      <c r="C310" s="14"/>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4"/>
      <c r="C311" s="14"/>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4"/>
      <c r="C312" s="14"/>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4"/>
      <c r="C313" s="14"/>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4"/>
      <c r="C314" s="14"/>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4"/>
      <c r="C315" s="14"/>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4"/>
      <c r="C316" s="14"/>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4"/>
      <c r="C317" s="14"/>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4"/>
      <c r="C318" s="14"/>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4"/>
      <c r="C319" s="14"/>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4"/>
      <c r="C320" s="14"/>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4"/>
      <c r="C321" s="14"/>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4"/>
      <c r="C322" s="14"/>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4"/>
      <c r="C323" s="14"/>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4"/>
      <c r="C324" s="14"/>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4"/>
      <c r="C325" s="14"/>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4"/>
      <c r="C326" s="14"/>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4"/>
      <c r="C327" s="14"/>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4"/>
      <c r="C328" s="14"/>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4"/>
      <c r="C329" s="14"/>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4"/>
      <c r="C330" s="14"/>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4"/>
      <c r="C331" s="14"/>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4"/>
      <c r="C332" s="14"/>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4"/>
      <c r="C333" s="14"/>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4"/>
      <c r="C334" s="14"/>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4"/>
      <c r="C335" s="14"/>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4"/>
      <c r="C336" s="14"/>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4"/>
      <c r="C337" s="14"/>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4"/>
      <c r="C338" s="14"/>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4"/>
      <c r="C339" s="14"/>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4"/>
      <c r="C340" s="14"/>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4"/>
      <c r="C341" s="14"/>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4"/>
      <c r="C342" s="14"/>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4"/>
      <c r="C343" s="14"/>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4"/>
      <c r="C344" s="14"/>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4"/>
      <c r="C345" s="14"/>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4"/>
      <c r="C346" s="14"/>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4"/>
      <c r="C347" s="14"/>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4"/>
      <c r="C348" s="14"/>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4"/>
      <c r="C349" s="14"/>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4"/>
      <c r="C350" s="14"/>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4"/>
      <c r="C351" s="14"/>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4"/>
      <c r="C352" s="14"/>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4"/>
      <c r="C353" s="14"/>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4"/>
      <c r="C354" s="14"/>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4"/>
      <c r="C355" s="14"/>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4"/>
      <c r="C356" s="14"/>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4"/>
      <c r="C357" s="14"/>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4"/>
      <c r="C358" s="14"/>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4"/>
      <c r="C359" s="14"/>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4"/>
      <c r="C360" s="14"/>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4"/>
      <c r="C361" s="14"/>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4"/>
      <c r="C362" s="14"/>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4"/>
      <c r="C363" s="14"/>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4"/>
      <c r="C364" s="14"/>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4"/>
      <c r="C365" s="14"/>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4"/>
      <c r="C366" s="14"/>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4"/>
      <c r="C367" s="14"/>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4"/>
      <c r="C368" s="14"/>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4"/>
      <c r="C369" s="14"/>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4"/>
      <c r="C370" s="14"/>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4"/>
      <c r="C371" s="14"/>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4"/>
      <c r="C372" s="14"/>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4"/>
      <c r="C373" s="14"/>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4"/>
      <c r="C374" s="14"/>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4"/>
      <c r="C375" s="14"/>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4"/>
      <c r="C376" s="14"/>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4"/>
      <c r="C377" s="14"/>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4"/>
      <c r="C378" s="14"/>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4"/>
      <c r="C379" s="14"/>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4"/>
      <c r="C380" s="14"/>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4"/>
      <c r="C381" s="14"/>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4"/>
      <c r="C382" s="14"/>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4"/>
      <c r="C383" s="14"/>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4"/>
      <c r="C384" s="14"/>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4"/>
      <c r="C385" s="14"/>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4"/>
      <c r="C386" s="14"/>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4"/>
      <c r="C387" s="14"/>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4"/>
      <c r="C388" s="14"/>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4"/>
      <c r="C389" s="14"/>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4"/>
      <c r="C390" s="14"/>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4"/>
      <c r="C391" s="14"/>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4"/>
      <c r="C392" s="14"/>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4"/>
      <c r="C393" s="14"/>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4"/>
      <c r="C394" s="14"/>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4"/>
      <c r="C395" s="14"/>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4"/>
      <c r="C396" s="14"/>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4"/>
      <c r="C397" s="14"/>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4"/>
      <c r="C398" s="14"/>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4"/>
      <c r="C399" s="14"/>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4"/>
      <c r="C400" s="14"/>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4"/>
      <c r="C401" s="14"/>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4"/>
      <c r="C402" s="14"/>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4"/>
      <c r="C403" s="14"/>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4"/>
      <c r="C404" s="14"/>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4"/>
      <c r="C405" s="14"/>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4"/>
      <c r="C406" s="14"/>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4"/>
      <c r="C407" s="14"/>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4"/>
      <c r="C408" s="14"/>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4"/>
      <c r="C409" s="14"/>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4"/>
      <c r="C410" s="14"/>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4"/>
      <c r="C411" s="14"/>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4"/>
      <c r="C412" s="14"/>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4"/>
      <c r="C413" s="14"/>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4"/>
      <c r="C414" s="14"/>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4"/>
      <c r="C415" s="14"/>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4"/>
      <c r="C416" s="14"/>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4"/>
      <c r="C417" s="14"/>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4"/>
      <c r="C418" s="14"/>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4"/>
      <c r="C419" s="14"/>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4"/>
      <c r="C420" s="14"/>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4"/>
      <c r="C421" s="14"/>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4"/>
      <c r="C422" s="14"/>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4"/>
      <c r="C423" s="14"/>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4"/>
      <c r="C424" s="14"/>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4"/>
      <c r="C425" s="14"/>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4"/>
      <c r="C426" s="14"/>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4"/>
      <c r="C427" s="14"/>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4"/>
      <c r="C428" s="14"/>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4"/>
      <c r="C429" s="14"/>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4"/>
      <c r="C430" s="14"/>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4"/>
      <c r="C431" s="14"/>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4"/>
      <c r="C432" s="14"/>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4"/>
      <c r="C433" s="14"/>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4"/>
      <c r="C434" s="14"/>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4"/>
      <c r="C435" s="14"/>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4"/>
      <c r="C436" s="14"/>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4"/>
      <c r="C437" s="14"/>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4"/>
      <c r="C438" s="14"/>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4"/>
      <c r="C439" s="14"/>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4"/>
      <c r="C440" s="14"/>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4"/>
      <c r="C441" s="14"/>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4"/>
      <c r="C442" s="14"/>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4"/>
      <c r="C443" s="14"/>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4"/>
      <c r="C444" s="14"/>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4"/>
      <c r="C445" s="14"/>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4"/>
      <c r="C446" s="14"/>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4"/>
      <c r="C447" s="14"/>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4"/>
      <c r="C448" s="14"/>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4"/>
      <c r="C449" s="14"/>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4"/>
      <c r="C450" s="14"/>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4"/>
      <c r="C451" s="14"/>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4"/>
      <c r="C452" s="14"/>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4"/>
      <c r="C453" s="14"/>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4"/>
      <c r="C454" s="14"/>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4"/>
      <c r="C455" s="14"/>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4"/>
      <c r="C456" s="14"/>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4"/>
      <c r="C457" s="14"/>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4"/>
      <c r="C458" s="14"/>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4"/>
      <c r="C459" s="14"/>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4"/>
      <c r="C460" s="14"/>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4"/>
      <c r="C461" s="14"/>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4"/>
      <c r="C462" s="14"/>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4"/>
      <c r="C463" s="14"/>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4"/>
      <c r="C464" s="14"/>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4"/>
      <c r="C465" s="14"/>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4"/>
      <c r="C466" s="14"/>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4"/>
      <c r="C467" s="14"/>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4"/>
      <c r="C468" s="14"/>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4"/>
      <c r="C469" s="14"/>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4"/>
      <c r="C470" s="14"/>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4"/>
      <c r="C471" s="14"/>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4"/>
      <c r="C472" s="14"/>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4"/>
      <c r="C473" s="14"/>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4"/>
      <c r="C474" s="14"/>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4"/>
      <c r="C475" s="14"/>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4"/>
      <c r="C476" s="14"/>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4"/>
      <c r="C477" s="14"/>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4"/>
      <c r="C478" s="14"/>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4"/>
      <c r="C479" s="14"/>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4"/>
      <c r="C480" s="14"/>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4"/>
      <c r="C481" s="14"/>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4"/>
      <c r="C482" s="14"/>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4"/>
      <c r="C483" s="14"/>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4"/>
      <c r="C484" s="14"/>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4"/>
      <c r="C485" s="14"/>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4"/>
      <c r="C486" s="14"/>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4"/>
      <c r="C487" s="14"/>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4"/>
      <c r="C488" s="14"/>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4"/>
      <c r="C489" s="14"/>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4"/>
      <c r="C490" s="14"/>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4"/>
      <c r="C491" s="14"/>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4"/>
      <c r="C492" s="14"/>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4"/>
      <c r="C493" s="14"/>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4"/>
      <c r="C494" s="14"/>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4"/>
      <c r="C495" s="14"/>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4"/>
      <c r="C496" s="14"/>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4"/>
      <c r="C497" s="14"/>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4"/>
      <c r="C498" s="14"/>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4"/>
      <c r="C499" s="14"/>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4"/>
      <c r="C500" s="14"/>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4"/>
      <c r="C501" s="14"/>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4"/>
      <c r="C502" s="14"/>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4"/>
      <c r="C503" s="14"/>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4"/>
      <c r="C504" s="14"/>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4"/>
      <c r="C505" s="14"/>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4"/>
      <c r="C506" s="14"/>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4"/>
      <c r="C507" s="14"/>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4"/>
      <c r="C508" s="14"/>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4"/>
      <c r="C509" s="14"/>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4"/>
      <c r="C510" s="14"/>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4"/>
      <c r="C511" s="14"/>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4"/>
      <c r="C512" s="14"/>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4"/>
      <c r="C513" s="14"/>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4"/>
      <c r="C514" s="14"/>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4"/>
      <c r="C515" s="14"/>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4"/>
      <c r="C516" s="14"/>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4"/>
      <c r="C517" s="14"/>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4"/>
      <c r="C518" s="14"/>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4"/>
      <c r="C519" s="14"/>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4"/>
      <c r="C520" s="14"/>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4"/>
      <c r="C521" s="14"/>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4"/>
      <c r="C522" s="14"/>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4"/>
      <c r="C523" s="14"/>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4"/>
      <c r="C524" s="14"/>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4"/>
      <c r="C525" s="14"/>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4"/>
      <c r="C526" s="14"/>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4"/>
      <c r="C527" s="14"/>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4"/>
      <c r="C528" s="14"/>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4"/>
      <c r="C529" s="14"/>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4"/>
      <c r="C530" s="14"/>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4"/>
      <c r="C531" s="14"/>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4"/>
      <c r="C532" s="14"/>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4"/>
      <c r="C533" s="14"/>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4"/>
      <c r="C534" s="14"/>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4"/>
      <c r="C535" s="14"/>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4"/>
      <c r="C536" s="14"/>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4"/>
      <c r="C537" s="14"/>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4"/>
      <c r="C538" s="14"/>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4"/>
      <c r="C539" s="14"/>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4"/>
      <c r="C540" s="14"/>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4"/>
      <c r="C541" s="14"/>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4"/>
      <c r="C542" s="14"/>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4"/>
      <c r="C543" s="14"/>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4"/>
      <c r="C544" s="14"/>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4"/>
      <c r="C545" s="14"/>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4"/>
      <c r="C546" s="14"/>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4"/>
      <c r="C547" s="14"/>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4"/>
      <c r="C548" s="14"/>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4"/>
      <c r="C549" s="14"/>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4"/>
      <c r="C550" s="14"/>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4"/>
      <c r="C551" s="14"/>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4"/>
      <c r="C552" s="14"/>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4"/>
      <c r="C553" s="14"/>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4"/>
      <c r="C554" s="14"/>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4"/>
      <c r="C555" s="14"/>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4"/>
      <c r="C556" s="14"/>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4"/>
      <c r="C557" s="14"/>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4"/>
      <c r="C558" s="14"/>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4"/>
      <c r="C559" s="14"/>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4"/>
      <c r="C560" s="14"/>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4"/>
      <c r="C561" s="14"/>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4"/>
      <c r="C562" s="14"/>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4"/>
      <c r="C563" s="14"/>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4"/>
      <c r="C564" s="14"/>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4"/>
      <c r="C565" s="14"/>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4"/>
      <c r="C566" s="14"/>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4"/>
      <c r="C567" s="14"/>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4"/>
      <c r="C568" s="14"/>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4"/>
      <c r="C569" s="14"/>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4"/>
      <c r="C570" s="14"/>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4"/>
      <c r="C571" s="14"/>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4"/>
      <c r="C572" s="14"/>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4"/>
      <c r="C573" s="14"/>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4"/>
      <c r="C574" s="14"/>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4"/>
      <c r="C575" s="14"/>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4"/>
      <c r="C576" s="14"/>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4"/>
      <c r="C577" s="14"/>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4"/>
      <c r="C578" s="14"/>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4"/>
      <c r="C579" s="14"/>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4"/>
      <c r="C580" s="14"/>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4"/>
      <c r="C581" s="14"/>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4"/>
      <c r="C582" s="14"/>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4"/>
      <c r="C583" s="14"/>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4"/>
      <c r="C584" s="14"/>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4"/>
      <c r="C585" s="14"/>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4"/>
      <c r="C586" s="14"/>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4"/>
      <c r="C587" s="14"/>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4"/>
      <c r="C588" s="14"/>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4"/>
      <c r="C589" s="14"/>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4"/>
      <c r="C590" s="14"/>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4"/>
      <c r="C591" s="14"/>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4"/>
      <c r="C592" s="14"/>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4"/>
      <c r="C593" s="14"/>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4"/>
      <c r="C594" s="14"/>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4"/>
      <c r="C595" s="14"/>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4"/>
      <c r="C596" s="14"/>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4"/>
      <c r="C597" s="14"/>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4"/>
      <c r="C598" s="14"/>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4"/>
      <c r="C599" s="14"/>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4"/>
      <c r="C600" s="14"/>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4"/>
      <c r="C601" s="14"/>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4"/>
      <c r="C602" s="14"/>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4"/>
      <c r="C603" s="14"/>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4"/>
      <c r="C604" s="14"/>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4"/>
      <c r="C605" s="14"/>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4"/>
      <c r="C606" s="14"/>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4"/>
      <c r="C607" s="14"/>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4"/>
      <c r="C608" s="14"/>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4"/>
      <c r="C609" s="14"/>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4"/>
      <c r="C610" s="14"/>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4"/>
      <c r="C611" s="14"/>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4"/>
      <c r="C612" s="14"/>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4"/>
      <c r="C613" s="14"/>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4"/>
      <c r="C614" s="14"/>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4"/>
      <c r="C615" s="14"/>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4"/>
      <c r="C616" s="14"/>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4"/>
      <c r="C617" s="14"/>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4"/>
      <c r="C618" s="14"/>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4"/>
      <c r="C619" s="14"/>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4"/>
      <c r="C620" s="14"/>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4"/>
      <c r="C621" s="14"/>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4"/>
      <c r="C622" s="14"/>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4"/>
      <c r="C623" s="14"/>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4"/>
      <c r="C624" s="14"/>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4"/>
      <c r="C625" s="14"/>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4"/>
      <c r="C626" s="14"/>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4"/>
      <c r="C627" s="14"/>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4"/>
      <c r="C628" s="14"/>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4"/>
      <c r="C629" s="14"/>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4"/>
      <c r="C630" s="14"/>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4"/>
      <c r="C631" s="14"/>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4"/>
      <c r="C632" s="14"/>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4"/>
      <c r="C633" s="14"/>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4"/>
      <c r="C634" s="14"/>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4"/>
      <c r="C635" s="14"/>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4"/>
      <c r="C636" s="14"/>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4"/>
      <c r="C637" s="14"/>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4"/>
      <c r="C638" s="14"/>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4"/>
      <c r="C639" s="14"/>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4"/>
      <c r="C640" s="14"/>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4"/>
      <c r="C641" s="14"/>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4"/>
      <c r="C642" s="14"/>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4"/>
      <c r="C643" s="14"/>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4"/>
      <c r="C644" s="14"/>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4"/>
      <c r="C645" s="14"/>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4"/>
      <c r="C646" s="14"/>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4"/>
      <c r="C647" s="14"/>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4"/>
      <c r="C648" s="14"/>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4"/>
      <c r="C649" s="14"/>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4"/>
      <c r="C650" s="14"/>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4"/>
      <c r="C651" s="14"/>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4"/>
      <c r="C652" s="14"/>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4"/>
      <c r="C653" s="14"/>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4"/>
      <c r="C654" s="14"/>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4"/>
      <c r="C655" s="14"/>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4"/>
      <c r="C656" s="14"/>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4"/>
      <c r="C657" s="14"/>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4"/>
      <c r="C658" s="14"/>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4"/>
      <c r="C659" s="14"/>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4"/>
      <c r="C660" s="14"/>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4"/>
      <c r="C661" s="14"/>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4"/>
      <c r="C662" s="14"/>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4"/>
      <c r="C663" s="14"/>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4"/>
      <c r="C664" s="14"/>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4"/>
      <c r="C665" s="14"/>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4"/>
      <c r="C666" s="14"/>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4"/>
      <c r="C667" s="14"/>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4"/>
      <c r="C668" s="14"/>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4"/>
      <c r="C669" s="14"/>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4"/>
      <c r="C670" s="14"/>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4"/>
      <c r="C671" s="14"/>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4"/>
      <c r="C672" s="14"/>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4"/>
      <c r="C673" s="14"/>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4"/>
      <c r="C674" s="14"/>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4"/>
      <c r="C675" s="14"/>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4"/>
      <c r="C676" s="14"/>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4"/>
      <c r="C677" s="14"/>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4"/>
      <c r="C678" s="14"/>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4"/>
      <c r="C679" s="14"/>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4"/>
      <c r="C680" s="14"/>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4"/>
      <c r="C681" s="14"/>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4"/>
      <c r="C682" s="14"/>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4"/>
      <c r="C683" s="14"/>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4"/>
      <c r="C684" s="14"/>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4"/>
      <c r="C685" s="14"/>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4"/>
      <c r="C686" s="14"/>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4"/>
      <c r="C687" s="14"/>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4"/>
      <c r="C688" s="14"/>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4"/>
      <c r="C689" s="14"/>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4"/>
      <c r="C690" s="14"/>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4"/>
      <c r="C691" s="14"/>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4"/>
      <c r="C692" s="14"/>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4"/>
      <c r="C693" s="14"/>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4"/>
      <c r="C694" s="14"/>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4"/>
      <c r="C695" s="14"/>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4"/>
      <c r="C696" s="14"/>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4"/>
      <c r="C697" s="14"/>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4"/>
      <c r="C698" s="14"/>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4"/>
      <c r="C699" s="14"/>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4"/>
      <c r="C700" s="14"/>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4"/>
      <c r="C701" s="14"/>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4"/>
      <c r="C702" s="14"/>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4"/>
      <c r="C703" s="14"/>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4"/>
      <c r="C704" s="14"/>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4"/>
      <c r="C705" s="14"/>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4"/>
      <c r="C706" s="14"/>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4"/>
      <c r="C707" s="14"/>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4"/>
      <c r="C708" s="14"/>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4"/>
      <c r="C709" s="14"/>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4"/>
      <c r="C710" s="14"/>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4"/>
      <c r="C711" s="14"/>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4"/>
      <c r="C712" s="14"/>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4"/>
      <c r="C713" s="14"/>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4"/>
      <c r="C714" s="14"/>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4"/>
      <c r="C715" s="14"/>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4"/>
      <c r="C716" s="14"/>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4"/>
      <c r="C717" s="14"/>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4"/>
      <c r="C718" s="14"/>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4"/>
      <c r="C719" s="14"/>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4"/>
      <c r="C720" s="14"/>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4"/>
      <c r="C721" s="14"/>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4"/>
      <c r="C722" s="14"/>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4"/>
      <c r="C723" s="14"/>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4"/>
      <c r="C724" s="14"/>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4"/>
      <c r="C725" s="14"/>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4"/>
      <c r="C726" s="14"/>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4"/>
      <c r="C727" s="14"/>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4"/>
      <c r="C728" s="14"/>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4"/>
      <c r="C729" s="14"/>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4"/>
      <c r="C730" s="14"/>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4"/>
      <c r="C731" s="14"/>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4"/>
      <c r="C732" s="14"/>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4"/>
      <c r="C733" s="14"/>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4"/>
      <c r="C734" s="14"/>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4"/>
      <c r="C735" s="14"/>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4"/>
      <c r="C736" s="14"/>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4"/>
      <c r="C737" s="14"/>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4"/>
      <c r="C738" s="14"/>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4"/>
      <c r="C739" s="14"/>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4"/>
      <c r="C740" s="14"/>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4"/>
      <c r="C741" s="14"/>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4"/>
      <c r="C742" s="14"/>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4"/>
      <c r="C743" s="14"/>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4"/>
      <c r="C744" s="14"/>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4"/>
      <c r="C745" s="14"/>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4"/>
      <c r="C746" s="14"/>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4"/>
      <c r="C747" s="14"/>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4"/>
      <c r="C748" s="14"/>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4"/>
      <c r="C749" s="14"/>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4"/>
      <c r="C750" s="14"/>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4"/>
      <c r="C751" s="14"/>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4"/>
      <c r="C752" s="14"/>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4"/>
      <c r="C753" s="14"/>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4"/>
      <c r="C754" s="14"/>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4"/>
      <c r="C755" s="14"/>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4"/>
      <c r="C756" s="14"/>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4"/>
      <c r="C757" s="14"/>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4"/>
      <c r="C758" s="14"/>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4"/>
      <c r="C759" s="14"/>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4"/>
      <c r="C760" s="14"/>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4"/>
      <c r="C761" s="14"/>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4"/>
      <c r="C762" s="14"/>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4"/>
      <c r="C763" s="14"/>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4"/>
      <c r="C764" s="14"/>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4"/>
      <c r="C765" s="14"/>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4"/>
      <c r="C766" s="14"/>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4"/>
      <c r="C767" s="14"/>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4"/>
      <c r="C768" s="14"/>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4"/>
      <c r="C769" s="14"/>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4"/>
      <c r="C770" s="14"/>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4"/>
      <c r="C771" s="14"/>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4"/>
      <c r="C772" s="14"/>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4"/>
      <c r="C773" s="14"/>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4"/>
      <c r="C774" s="14"/>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4"/>
      <c r="C775" s="14"/>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4"/>
      <c r="C776" s="14"/>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4"/>
      <c r="C777" s="14"/>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4"/>
      <c r="C778" s="14"/>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4"/>
      <c r="C779" s="14"/>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4"/>
      <c r="C780" s="14"/>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4"/>
      <c r="C781" s="14"/>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4"/>
      <c r="C782" s="14"/>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4"/>
      <c r="C783" s="14"/>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4"/>
      <c r="C784" s="14"/>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4"/>
      <c r="C785" s="14"/>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4"/>
      <c r="C786" s="14"/>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4"/>
      <c r="C787" s="14"/>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4"/>
      <c r="C788" s="14"/>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4"/>
      <c r="C789" s="14"/>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4"/>
      <c r="C790" s="14"/>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4"/>
      <c r="C791" s="14"/>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4"/>
      <c r="C792" s="14"/>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4"/>
      <c r="C793" s="14"/>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4"/>
      <c r="C794" s="14"/>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4"/>
      <c r="C795" s="14"/>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4"/>
      <c r="C796" s="14"/>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4"/>
      <c r="C797" s="14"/>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4"/>
      <c r="C798" s="14"/>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4"/>
      <c r="C799" s="14"/>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4"/>
      <c r="C800" s="14"/>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4"/>
      <c r="C801" s="14"/>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4"/>
      <c r="C802" s="14"/>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4"/>
      <c r="C803" s="14"/>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4"/>
      <c r="C804" s="14"/>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4"/>
      <c r="C805" s="14"/>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4"/>
      <c r="C806" s="14"/>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4"/>
      <c r="C807" s="14"/>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4"/>
      <c r="C808" s="14"/>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4"/>
      <c r="C809" s="14"/>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4"/>
      <c r="C810" s="14"/>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4"/>
      <c r="C811" s="14"/>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4"/>
      <c r="C812" s="14"/>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4"/>
      <c r="C813" s="14"/>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4"/>
      <c r="C814" s="14"/>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4"/>
      <c r="C815" s="14"/>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4"/>
      <c r="C816" s="14"/>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4"/>
      <c r="C817" s="14"/>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4"/>
      <c r="C818" s="14"/>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4"/>
      <c r="C819" s="14"/>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4"/>
      <c r="C820" s="14"/>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4"/>
      <c r="C821" s="14"/>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4"/>
      <c r="C822" s="14"/>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4"/>
      <c r="C823" s="14"/>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4"/>
      <c r="C824" s="14"/>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4"/>
      <c r="C825" s="14"/>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4"/>
      <c r="C826" s="14"/>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4"/>
      <c r="C827" s="14"/>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4"/>
      <c r="C828" s="14"/>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4"/>
      <c r="C829" s="14"/>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4"/>
      <c r="C830" s="14"/>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4"/>
      <c r="C831" s="14"/>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4"/>
      <c r="C832" s="14"/>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4"/>
      <c r="C833" s="14"/>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4"/>
      <c r="C834" s="14"/>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4"/>
      <c r="C835" s="14"/>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4"/>
      <c r="C836" s="14"/>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4"/>
      <c r="C837" s="14"/>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4"/>
      <c r="C838" s="14"/>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4"/>
      <c r="C839" s="14"/>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4"/>
      <c r="C840" s="14"/>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4"/>
      <c r="C841" s="14"/>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4"/>
      <c r="C842" s="14"/>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4"/>
      <c r="C843" s="14"/>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4"/>
      <c r="C844" s="14"/>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4"/>
      <c r="C845" s="14"/>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4"/>
      <c r="C846" s="14"/>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4"/>
      <c r="C847" s="14"/>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4"/>
      <c r="C848" s="14"/>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4"/>
      <c r="C849" s="14"/>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4"/>
      <c r="C850" s="14"/>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4"/>
      <c r="C851" s="14"/>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4"/>
      <c r="C852" s="14"/>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4"/>
      <c r="C853" s="14"/>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4"/>
      <c r="C854" s="14"/>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4"/>
      <c r="C855" s="14"/>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4"/>
      <c r="C856" s="14"/>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4"/>
      <c r="C857" s="14"/>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4"/>
      <c r="C858" s="14"/>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4"/>
      <c r="C859" s="14"/>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4"/>
      <c r="C860" s="14"/>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4"/>
      <c r="C861" s="14"/>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4"/>
      <c r="C862" s="14"/>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4"/>
      <c r="C863" s="14"/>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4"/>
      <c r="C864" s="14"/>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4"/>
      <c r="C865" s="14"/>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4"/>
      <c r="C866" s="14"/>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4"/>
      <c r="C867" s="14"/>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4"/>
      <c r="C868" s="14"/>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4"/>
      <c r="C869" s="14"/>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4"/>
      <c r="C870" s="14"/>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4"/>
      <c r="C871" s="14"/>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4"/>
      <c r="C872" s="14"/>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4"/>
      <c r="C873" s="14"/>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4"/>
      <c r="C874" s="14"/>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4"/>
      <c r="C875" s="14"/>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4"/>
      <c r="C876" s="14"/>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4"/>
      <c r="C877" s="14"/>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4"/>
      <c r="C878" s="14"/>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4"/>
      <c r="C879" s="14"/>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4"/>
      <c r="C880" s="14"/>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4"/>
      <c r="C881" s="14"/>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4"/>
      <c r="C882" s="14"/>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4"/>
      <c r="C883" s="14"/>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4"/>
      <c r="C884" s="14"/>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4"/>
      <c r="C885" s="14"/>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4"/>
      <c r="C886" s="14"/>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4"/>
      <c r="C887" s="14"/>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4"/>
      <c r="C888" s="14"/>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4"/>
      <c r="C889" s="14"/>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4"/>
      <c r="C890" s="14"/>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4"/>
      <c r="C891" s="14"/>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4"/>
      <c r="C892" s="14"/>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4"/>
      <c r="C893" s="14"/>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4"/>
      <c r="C894" s="14"/>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4"/>
      <c r="C895" s="14"/>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4"/>
      <c r="C896" s="14"/>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4"/>
      <c r="C897" s="14"/>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4"/>
      <c r="C898" s="14"/>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4"/>
      <c r="C899" s="14"/>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4"/>
      <c r="C900" s="14"/>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4"/>
      <c r="C901" s="14"/>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4"/>
      <c r="C902" s="14"/>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4"/>
      <c r="C903" s="14"/>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4"/>
      <c r="C904" s="14"/>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4"/>
      <c r="C905" s="14"/>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4"/>
      <c r="C906" s="14"/>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4"/>
      <c r="C907" s="14"/>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4"/>
      <c r="C908" s="14"/>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4"/>
      <c r="C909" s="14"/>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4"/>
      <c r="C910" s="14"/>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4"/>
      <c r="C911" s="14"/>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4"/>
      <c r="C912" s="14"/>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4"/>
      <c r="C913" s="14"/>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4"/>
      <c r="C914" s="14"/>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4"/>
      <c r="C915" s="14"/>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4"/>
      <c r="C916" s="14"/>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4"/>
      <c r="C917" s="14"/>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4"/>
      <c r="C918" s="14"/>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4"/>
      <c r="C919" s="14"/>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4"/>
      <c r="C920" s="14"/>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4"/>
      <c r="C921" s="14"/>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4"/>
      <c r="C922" s="14"/>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4"/>
      <c r="C923" s="14"/>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4"/>
      <c r="C924" s="14"/>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4"/>
      <c r="C925" s="14"/>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4"/>
      <c r="C926" s="14"/>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4"/>
      <c r="C927" s="14"/>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4"/>
      <c r="C928" s="14"/>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4"/>
      <c r="C929" s="14"/>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4"/>
      <c r="C930" s="14"/>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4"/>
      <c r="C931" s="14"/>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4"/>
      <c r="C932" s="14"/>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4"/>
      <c r="C933" s="14"/>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4"/>
      <c r="C934" s="14"/>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4"/>
      <c r="C935" s="14"/>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4"/>
      <c r="C936" s="14"/>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4"/>
      <c r="C937" s="14"/>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4"/>
      <c r="C938" s="14"/>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4"/>
      <c r="C939" s="14"/>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4"/>
      <c r="C940" s="14"/>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4"/>
      <c r="C941" s="14"/>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4"/>
      <c r="C942" s="14"/>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4"/>
      <c r="C943" s="14"/>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4"/>
      <c r="C944" s="14"/>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4"/>
      <c r="C945" s="14"/>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4"/>
      <c r="C946" s="14"/>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4"/>
      <c r="C947" s="14"/>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4"/>
      <c r="C948" s="14"/>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4"/>
      <c r="C949" s="14"/>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4"/>
      <c r="C950" s="14"/>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4"/>
      <c r="C951" s="14"/>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4"/>
      <c r="C952" s="14"/>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4"/>
      <c r="C953" s="14"/>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4"/>
      <c r="C954" s="14"/>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4"/>
      <c r="C955" s="14"/>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4"/>
      <c r="C956" s="14"/>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4"/>
      <c r="C957" s="14"/>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4"/>
      <c r="C958" s="14"/>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4"/>
      <c r="C959" s="14"/>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4"/>
      <c r="C960" s="14"/>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4"/>
      <c r="C961" s="14"/>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4"/>
      <c r="C962" s="14"/>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4"/>
      <c r="C963" s="14"/>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4"/>
      <c r="C964" s="14"/>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4"/>
      <c r="C965" s="14"/>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4"/>
      <c r="C966" s="14"/>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4"/>
      <c r="C967" s="14"/>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4"/>
      <c r="C968" s="14"/>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4"/>
      <c r="C969" s="14"/>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4"/>
      <c r="C970" s="14"/>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4"/>
      <c r="C971" s="14"/>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4"/>
      <c r="C972" s="14"/>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4"/>
      <c r="C973" s="14"/>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4"/>
      <c r="C974" s="14"/>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4"/>
      <c r="C975" s="14"/>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4"/>
      <c r="C976" s="14"/>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4"/>
      <c r="C977" s="14"/>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4"/>
      <c r="C978" s="14"/>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4"/>
      <c r="C979" s="14"/>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4"/>
      <c r="C980" s="14"/>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4"/>
      <c r="C981" s="14"/>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4"/>
      <c r="C982" s="14"/>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4"/>
      <c r="C983" s="14"/>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4"/>
      <c r="C984" s="14"/>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4"/>
      <c r="C985" s="14"/>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4"/>
      <c r="C986" s="14"/>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4"/>
      <c r="C987" s="14"/>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4"/>
      <c r="C988" s="14"/>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4"/>
      <c r="C989" s="14"/>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4"/>
      <c r="C990" s="14"/>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4"/>
      <c r="C991" s="14"/>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4"/>
      <c r="C992" s="14"/>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4"/>
      <c r="C993" s="14"/>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4"/>
      <c r="C994" s="14"/>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4"/>
      <c r="C995" s="14"/>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4"/>
      <c r="C996" s="14"/>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4"/>
      <c r="C997" s="14"/>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4"/>
      <c r="C998" s="14"/>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4"/>
      <c r="C999" s="14"/>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4"/>
      <c r="C1000" s="14"/>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B47:C47"/>
    <mergeCell ref="B4:C4"/>
    <mergeCell ref="B63:C63"/>
    <mergeCell ref="B187:C187"/>
    <mergeCell ref="B126:C126"/>
    <mergeCell ref="B162:C162"/>
    <mergeCell ref="B58:C58"/>
    <mergeCell ref="B91:C91"/>
    <mergeCell ref="B70:C70"/>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00"/>
  <sheetViews>
    <sheetView tabSelected="1" workbookViewId="0">
      <selection activeCell="A2" sqref="A2:K15"/>
    </sheetView>
  </sheetViews>
  <sheetFormatPr baseColWidth="10" defaultColWidth="11.25" defaultRowHeight="15" customHeight="1"/>
  <cols>
    <col min="1" max="1" width="22.75" customWidth="1"/>
    <col min="2" max="2" width="22.75" hidden="1" customWidth="1"/>
    <col min="3" max="3" width="16.75" customWidth="1"/>
    <col min="4" max="4" width="22.25" customWidth="1"/>
    <col min="5" max="5" width="14.875" customWidth="1"/>
    <col min="6" max="6" width="27.75" customWidth="1"/>
    <col min="7" max="7" width="48" customWidth="1"/>
    <col min="8" max="9" width="31.25" customWidth="1"/>
    <col min="10" max="10" width="20.25" customWidth="1"/>
    <col min="11" max="11" width="16.75" customWidth="1"/>
    <col min="12" max="12" width="18" customWidth="1"/>
    <col min="13" max="13" width="26.625" bestFit="1" customWidth="1"/>
    <col min="14" max="15" width="27.75" customWidth="1"/>
    <col min="16" max="16" width="32.625" bestFit="1" customWidth="1"/>
    <col min="17" max="17" width="32.625" customWidth="1"/>
    <col min="18" max="18" width="37.625" bestFit="1" customWidth="1"/>
    <col min="19" max="19" width="44.25" bestFit="1" customWidth="1"/>
    <col min="20" max="20" width="47.25" bestFit="1" customWidth="1"/>
    <col min="21" max="22" width="44.25" customWidth="1"/>
    <col min="23" max="23" width="46.875" customWidth="1"/>
    <col min="24" max="24" width="36" customWidth="1"/>
  </cols>
  <sheetData>
    <row r="1" spans="1:24" ht="15.75" customHeight="1">
      <c r="A1" s="28" t="s">
        <v>0</v>
      </c>
      <c r="B1" s="28" t="s">
        <v>1</v>
      </c>
      <c r="C1" s="28" t="s">
        <v>2</v>
      </c>
      <c r="D1" s="28" t="s">
        <v>3</v>
      </c>
      <c r="E1" s="28" t="s">
        <v>4</v>
      </c>
      <c r="F1" s="28" t="s">
        <v>5</v>
      </c>
      <c r="G1" s="28" t="s">
        <v>6</v>
      </c>
      <c r="H1" s="28" t="s">
        <v>7</v>
      </c>
      <c r="I1" s="29"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row>
    <row r="2" spans="1:24" ht="15.75" customHeight="1">
      <c r="A2" s="30" t="s">
        <v>24</v>
      </c>
      <c r="B2" s="30" t="s">
        <v>25</v>
      </c>
      <c r="C2" s="30" t="s">
        <v>26</v>
      </c>
      <c r="D2" s="30">
        <v>4</v>
      </c>
      <c r="E2" s="30">
        <v>16</v>
      </c>
      <c r="F2" s="30" t="s">
        <v>27</v>
      </c>
      <c r="G2" s="30" t="s">
        <v>28</v>
      </c>
      <c r="H2" s="30" t="s">
        <v>29</v>
      </c>
      <c r="I2" s="30" t="s">
        <v>29</v>
      </c>
      <c r="J2" s="30">
        <v>4</v>
      </c>
      <c r="K2" s="30">
        <v>16</v>
      </c>
      <c r="L2" s="30">
        <v>130</v>
      </c>
      <c r="M2" s="30"/>
      <c r="N2" s="30" t="s">
        <v>30</v>
      </c>
      <c r="O2" s="31">
        <v>10.4</v>
      </c>
      <c r="P2" s="31">
        <f t="shared" ref="P2:R15" si="0">PRODUCT(O2,12)</f>
        <v>124.80000000000001</v>
      </c>
      <c r="Q2" s="31"/>
      <c r="R2" s="31"/>
      <c r="S2" s="31">
        <v>259.88</v>
      </c>
      <c r="T2" s="31">
        <f t="shared" ref="T2:T15" si="1">PRODUCT(S2,12)</f>
        <v>3118.56</v>
      </c>
      <c r="U2" s="31">
        <v>213.16</v>
      </c>
      <c r="V2" s="31">
        <f t="shared" ref="V2:V12" si="2">PRODUCT(U2,12)</f>
        <v>2557.92</v>
      </c>
      <c r="W2" s="31">
        <v>188.34</v>
      </c>
      <c r="X2" s="31">
        <f t="shared" ref="X2:X12" si="3">PRODUCT(W2,12)</f>
        <v>2260.08</v>
      </c>
    </row>
    <row r="3" spans="1:24" ht="15.75" customHeight="1">
      <c r="A3" s="30" t="s">
        <v>31</v>
      </c>
      <c r="B3" s="30" t="s">
        <v>32</v>
      </c>
      <c r="C3" s="30" t="s">
        <v>26</v>
      </c>
      <c r="D3" s="30">
        <v>4</v>
      </c>
      <c r="E3" s="30">
        <v>8</v>
      </c>
      <c r="F3" s="30" t="s">
        <v>27</v>
      </c>
      <c r="G3" s="30" t="s">
        <v>33</v>
      </c>
      <c r="H3" s="30" t="s">
        <v>34</v>
      </c>
      <c r="I3" s="30" t="s">
        <v>34</v>
      </c>
      <c r="J3" s="30">
        <v>4</v>
      </c>
      <c r="K3" s="30">
        <v>8</v>
      </c>
      <c r="L3" s="30">
        <v>100</v>
      </c>
      <c r="M3" s="30"/>
      <c r="N3" s="30" t="s">
        <v>30</v>
      </c>
      <c r="O3" s="31">
        <v>8</v>
      </c>
      <c r="P3" s="31">
        <f t="shared" si="0"/>
        <v>96</v>
      </c>
      <c r="Q3" s="31"/>
      <c r="R3" s="31"/>
      <c r="S3" s="31">
        <v>246.74</v>
      </c>
      <c r="T3" s="31">
        <f t="shared" si="1"/>
        <v>2960.88</v>
      </c>
      <c r="U3" s="31">
        <v>216.08</v>
      </c>
      <c r="V3" s="31">
        <f t="shared" si="2"/>
        <v>2592.96</v>
      </c>
      <c r="W3" s="31">
        <v>189</v>
      </c>
      <c r="X3" s="31">
        <f t="shared" si="3"/>
        <v>2268</v>
      </c>
    </row>
    <row r="4" spans="1:24" ht="15.75" customHeight="1">
      <c r="A4" s="30" t="s">
        <v>35</v>
      </c>
      <c r="B4" s="30" t="s">
        <v>36</v>
      </c>
      <c r="C4" s="30" t="s">
        <v>26</v>
      </c>
      <c r="D4" s="30">
        <v>4</v>
      </c>
      <c r="E4" s="30">
        <v>8</v>
      </c>
      <c r="F4" s="30" t="s">
        <v>27</v>
      </c>
      <c r="G4" s="30" t="s">
        <v>37</v>
      </c>
      <c r="H4" s="30" t="s">
        <v>34</v>
      </c>
      <c r="I4" s="30" t="s">
        <v>34</v>
      </c>
      <c r="J4" s="30">
        <v>4</v>
      </c>
      <c r="K4" s="30">
        <v>8</v>
      </c>
      <c r="L4" s="30">
        <v>80</v>
      </c>
      <c r="M4" s="30"/>
      <c r="N4" s="30" t="s">
        <v>30</v>
      </c>
      <c r="O4" s="31">
        <v>6.4</v>
      </c>
      <c r="P4" s="31">
        <f t="shared" si="0"/>
        <v>76.800000000000011</v>
      </c>
      <c r="Q4" s="31"/>
      <c r="R4" s="31"/>
      <c r="S4" s="31">
        <v>246.74</v>
      </c>
      <c r="T4" s="31">
        <f t="shared" si="1"/>
        <v>2960.88</v>
      </c>
      <c r="U4" s="31">
        <v>216.08</v>
      </c>
      <c r="V4" s="31">
        <f t="shared" si="2"/>
        <v>2592.96</v>
      </c>
      <c r="W4" s="31">
        <v>189</v>
      </c>
      <c r="X4" s="31">
        <f t="shared" si="3"/>
        <v>2268</v>
      </c>
    </row>
    <row r="5" spans="1:24" ht="15.75" customHeight="1">
      <c r="A5" s="30" t="s">
        <v>38</v>
      </c>
      <c r="B5" s="30" t="s">
        <v>39</v>
      </c>
      <c r="C5" s="30" t="s">
        <v>26</v>
      </c>
      <c r="D5" s="30">
        <v>4</v>
      </c>
      <c r="E5" s="30">
        <v>8</v>
      </c>
      <c r="F5" s="30" t="s">
        <v>40</v>
      </c>
      <c r="G5" s="30" t="s">
        <v>41</v>
      </c>
      <c r="H5" s="30" t="s">
        <v>34</v>
      </c>
      <c r="I5" s="30" t="s">
        <v>34</v>
      </c>
      <c r="J5" s="30">
        <v>4</v>
      </c>
      <c r="K5" s="30">
        <v>8</v>
      </c>
      <c r="L5" s="30">
        <v>210</v>
      </c>
      <c r="M5" s="30"/>
      <c r="N5" s="30" t="s">
        <v>30</v>
      </c>
      <c r="O5" s="31">
        <v>16.8</v>
      </c>
      <c r="P5" s="31">
        <f t="shared" si="0"/>
        <v>201.60000000000002</v>
      </c>
      <c r="Q5" s="31"/>
      <c r="R5" s="31"/>
      <c r="S5" s="31">
        <v>154.76</v>
      </c>
      <c r="T5" s="31">
        <f t="shared" si="1"/>
        <v>1857.12</v>
      </c>
      <c r="U5" s="31">
        <v>113.15</v>
      </c>
      <c r="V5" s="31">
        <f t="shared" si="2"/>
        <v>1357.8000000000002</v>
      </c>
      <c r="W5" s="31">
        <v>90.52</v>
      </c>
      <c r="X5" s="31">
        <f t="shared" si="3"/>
        <v>1086.24</v>
      </c>
    </row>
    <row r="6" spans="1:24" ht="15.75" customHeight="1">
      <c r="A6" s="30" t="s">
        <v>42</v>
      </c>
      <c r="B6" s="30" t="s">
        <v>43</v>
      </c>
      <c r="C6" s="30" t="s">
        <v>26</v>
      </c>
      <c r="D6" s="30">
        <v>4</v>
      </c>
      <c r="E6" s="30">
        <v>16</v>
      </c>
      <c r="F6" s="30" t="s">
        <v>40</v>
      </c>
      <c r="G6" s="30" t="s">
        <v>41</v>
      </c>
      <c r="H6" s="30" t="s">
        <v>44</v>
      </c>
      <c r="I6" s="30" t="s">
        <v>44</v>
      </c>
      <c r="J6" s="30">
        <v>4</v>
      </c>
      <c r="K6" s="30">
        <v>16</v>
      </c>
      <c r="L6" s="30">
        <v>520</v>
      </c>
      <c r="M6" s="30"/>
      <c r="N6" s="30" t="s">
        <v>30</v>
      </c>
      <c r="O6" s="31">
        <v>41.6</v>
      </c>
      <c r="P6" s="31">
        <f t="shared" si="0"/>
        <v>499.20000000000005</v>
      </c>
      <c r="Q6" s="31"/>
      <c r="R6" s="31"/>
      <c r="S6" s="31">
        <v>182.5</v>
      </c>
      <c r="T6" s="31">
        <f t="shared" si="1"/>
        <v>2190</v>
      </c>
      <c r="U6" s="31">
        <v>130.66999999999999</v>
      </c>
      <c r="V6" s="31">
        <f t="shared" si="2"/>
        <v>1568.04</v>
      </c>
      <c r="W6" s="31">
        <v>102.93</v>
      </c>
      <c r="X6" s="31">
        <f t="shared" si="3"/>
        <v>1235.1600000000001</v>
      </c>
    </row>
    <row r="7" spans="1:24" ht="15.75" customHeight="1">
      <c r="A7" s="30" t="s">
        <v>45</v>
      </c>
      <c r="B7" s="30" t="s">
        <v>46</v>
      </c>
      <c r="C7" s="30" t="s">
        <v>47</v>
      </c>
      <c r="D7" s="30">
        <v>2</v>
      </c>
      <c r="E7" s="30">
        <v>8</v>
      </c>
      <c r="F7" s="30" t="s">
        <v>48</v>
      </c>
      <c r="G7" s="30" t="s">
        <v>49</v>
      </c>
      <c r="H7" s="30" t="s">
        <v>50</v>
      </c>
      <c r="I7" s="30" t="s">
        <v>50</v>
      </c>
      <c r="J7" s="30">
        <v>2</v>
      </c>
      <c r="K7" s="30">
        <v>8</v>
      </c>
      <c r="L7" s="30">
        <v>80</v>
      </c>
      <c r="M7" s="30"/>
      <c r="N7" s="30" t="s">
        <v>30</v>
      </c>
      <c r="O7" s="31">
        <v>6.4</v>
      </c>
      <c r="P7" s="31">
        <f t="shared" si="0"/>
        <v>76.800000000000011</v>
      </c>
      <c r="Q7" s="31"/>
      <c r="R7" s="31"/>
      <c r="S7" s="31">
        <v>70.08</v>
      </c>
      <c r="T7" s="31">
        <f t="shared" si="1"/>
        <v>840.96</v>
      </c>
      <c r="U7" s="31">
        <v>43.8</v>
      </c>
      <c r="V7" s="31">
        <f t="shared" si="2"/>
        <v>525.59999999999991</v>
      </c>
      <c r="W7" s="31">
        <v>29.93</v>
      </c>
      <c r="X7" s="31">
        <f t="shared" si="3"/>
        <v>359.15999999999997</v>
      </c>
    </row>
    <row r="8" spans="1:24" ht="15.75" customHeight="1">
      <c r="A8" s="30" t="s">
        <v>51</v>
      </c>
      <c r="B8" s="30"/>
      <c r="C8" s="30" t="s">
        <v>52</v>
      </c>
      <c r="D8" s="30">
        <v>4</v>
      </c>
      <c r="E8" s="30">
        <v>16</v>
      </c>
      <c r="F8" s="30" t="s">
        <v>27</v>
      </c>
      <c r="G8" s="30" t="s">
        <v>37</v>
      </c>
      <c r="H8" s="30" t="s">
        <v>44</v>
      </c>
      <c r="I8" s="30" t="s">
        <v>44</v>
      </c>
      <c r="J8" s="30">
        <v>4</v>
      </c>
      <c r="K8" s="30">
        <v>16</v>
      </c>
      <c r="L8" s="30">
        <v>100</v>
      </c>
      <c r="M8" s="30"/>
      <c r="N8" s="30" t="s">
        <v>30</v>
      </c>
      <c r="O8" s="31">
        <v>8</v>
      </c>
      <c r="P8" s="31">
        <f t="shared" si="0"/>
        <v>96</v>
      </c>
      <c r="Q8" s="31"/>
      <c r="R8" s="31"/>
      <c r="S8" s="31">
        <v>282.48</v>
      </c>
      <c r="T8" s="31">
        <f t="shared" si="1"/>
        <v>3389.76</v>
      </c>
      <c r="U8" s="31">
        <v>222.65</v>
      </c>
      <c r="V8" s="31">
        <f t="shared" si="2"/>
        <v>2671.8</v>
      </c>
      <c r="W8" s="31">
        <v>194.91</v>
      </c>
      <c r="X8" s="31">
        <f t="shared" si="3"/>
        <v>2338.92</v>
      </c>
    </row>
    <row r="9" spans="1:24" ht="15.75" customHeight="1">
      <c r="A9" s="32" t="s">
        <v>53</v>
      </c>
      <c r="B9" s="32"/>
      <c r="C9" s="32" t="s">
        <v>52</v>
      </c>
      <c r="D9" s="32">
        <v>2</v>
      </c>
      <c r="E9" s="32">
        <v>8</v>
      </c>
      <c r="F9" s="32" t="s">
        <v>27</v>
      </c>
      <c r="G9" s="32" t="s">
        <v>37</v>
      </c>
      <c r="H9" s="32" t="s">
        <v>54</v>
      </c>
      <c r="I9" s="32" t="s">
        <v>54</v>
      </c>
      <c r="J9" s="32">
        <v>2</v>
      </c>
      <c r="K9" s="32">
        <v>8</v>
      </c>
      <c r="L9" s="32">
        <v>100</v>
      </c>
      <c r="M9" s="32"/>
      <c r="N9" s="32" t="s">
        <v>30</v>
      </c>
      <c r="O9" s="31">
        <v>8</v>
      </c>
      <c r="P9" s="31">
        <f t="shared" si="0"/>
        <v>96</v>
      </c>
      <c r="Q9" s="31"/>
      <c r="R9" s="31"/>
      <c r="S9" s="31">
        <v>129.94</v>
      </c>
      <c r="T9" s="31">
        <f t="shared" si="1"/>
        <v>1559.28</v>
      </c>
      <c r="U9" s="31">
        <v>106.58</v>
      </c>
      <c r="V9" s="31">
        <f t="shared" si="2"/>
        <v>1278.96</v>
      </c>
      <c r="W9" s="31">
        <v>94.17</v>
      </c>
      <c r="X9" s="31">
        <f t="shared" si="3"/>
        <v>1130.04</v>
      </c>
    </row>
    <row r="10" spans="1:24" ht="15.75" customHeight="1">
      <c r="A10" s="32" t="s">
        <v>55</v>
      </c>
      <c r="B10" s="32"/>
      <c r="C10" s="32" t="s">
        <v>52</v>
      </c>
      <c r="D10" s="32">
        <v>4</v>
      </c>
      <c r="E10" s="32">
        <v>8</v>
      </c>
      <c r="F10" s="32" t="s">
        <v>27</v>
      </c>
      <c r="G10" s="32" t="s">
        <v>33</v>
      </c>
      <c r="H10" s="32" t="s">
        <v>34</v>
      </c>
      <c r="I10" s="32" t="s">
        <v>34</v>
      </c>
      <c r="J10" s="32">
        <v>4</v>
      </c>
      <c r="K10" s="32">
        <v>8</v>
      </c>
      <c r="L10" s="32">
        <v>100</v>
      </c>
      <c r="M10" s="32"/>
      <c r="N10" s="32" t="s">
        <v>30</v>
      </c>
      <c r="O10" s="31">
        <v>8</v>
      </c>
      <c r="P10" s="31">
        <f t="shared" si="0"/>
        <v>96</v>
      </c>
      <c r="Q10" s="31"/>
      <c r="R10" s="31"/>
      <c r="S10" s="31">
        <v>246.74</v>
      </c>
      <c r="T10" s="31">
        <f t="shared" si="1"/>
        <v>2960.88</v>
      </c>
      <c r="U10" s="31">
        <v>205.13</v>
      </c>
      <c r="V10" s="31">
        <f t="shared" si="2"/>
        <v>2461.56</v>
      </c>
      <c r="W10" s="31">
        <v>183.23</v>
      </c>
      <c r="X10" s="31">
        <f t="shared" si="3"/>
        <v>2198.7599999999998</v>
      </c>
    </row>
    <row r="11" spans="1:24" ht="15.75" customHeight="1">
      <c r="A11" s="30" t="s">
        <v>56</v>
      </c>
      <c r="B11" s="30"/>
      <c r="C11" s="30" t="s">
        <v>47</v>
      </c>
      <c r="D11" s="30">
        <v>2</v>
      </c>
      <c r="E11" s="30">
        <v>8</v>
      </c>
      <c r="F11" s="30" t="s">
        <v>27</v>
      </c>
      <c r="G11" s="30" t="s">
        <v>37</v>
      </c>
      <c r="H11" s="30" t="s">
        <v>50</v>
      </c>
      <c r="I11" s="30" t="s">
        <v>50</v>
      </c>
      <c r="J11" s="30">
        <v>2</v>
      </c>
      <c r="K11" s="30">
        <v>8</v>
      </c>
      <c r="L11" s="30">
        <v>100</v>
      </c>
      <c r="M11" s="30">
        <v>100</v>
      </c>
      <c r="N11" s="30" t="s">
        <v>30</v>
      </c>
      <c r="O11" s="31">
        <v>8</v>
      </c>
      <c r="P11" s="31">
        <f t="shared" si="0"/>
        <v>96</v>
      </c>
      <c r="Q11" s="31">
        <v>8</v>
      </c>
      <c r="R11" s="31">
        <f t="shared" si="0"/>
        <v>96</v>
      </c>
      <c r="S11" s="31">
        <v>137.24</v>
      </c>
      <c r="T11" s="31">
        <f t="shared" si="1"/>
        <v>1646.88</v>
      </c>
      <c r="U11" s="31">
        <v>110.96</v>
      </c>
      <c r="V11" s="31">
        <f t="shared" si="2"/>
        <v>1331.52</v>
      </c>
      <c r="W11" s="31">
        <v>97.09</v>
      </c>
      <c r="X11" s="31">
        <f t="shared" si="3"/>
        <v>1165.08</v>
      </c>
    </row>
    <row r="12" spans="1:24" ht="15.75" customHeight="1">
      <c r="A12" s="30" t="s">
        <v>57</v>
      </c>
      <c r="B12" s="30"/>
      <c r="C12" s="30" t="s">
        <v>47</v>
      </c>
      <c r="D12" s="30">
        <v>4</v>
      </c>
      <c r="E12" s="30">
        <v>8</v>
      </c>
      <c r="F12" s="30" t="s">
        <v>27</v>
      </c>
      <c r="G12" s="30" t="s">
        <v>37</v>
      </c>
      <c r="H12" s="30" t="s">
        <v>34</v>
      </c>
      <c r="I12" s="30" t="s">
        <v>34</v>
      </c>
      <c r="J12" s="30">
        <v>4</v>
      </c>
      <c r="K12" s="30">
        <v>8</v>
      </c>
      <c r="L12" s="30">
        <v>80</v>
      </c>
      <c r="M12" s="30"/>
      <c r="N12" s="30" t="s">
        <v>30</v>
      </c>
      <c r="O12" s="31">
        <v>6.4</v>
      </c>
      <c r="P12" s="31">
        <f t="shared" si="0"/>
        <v>76.800000000000011</v>
      </c>
      <c r="Q12" s="31"/>
      <c r="R12" s="31"/>
      <c r="S12" s="31">
        <v>246.74</v>
      </c>
      <c r="T12" s="31">
        <f t="shared" si="1"/>
        <v>2960.88</v>
      </c>
      <c r="U12" s="31">
        <v>205.13</v>
      </c>
      <c r="V12" s="31">
        <f t="shared" si="2"/>
        <v>2461.56</v>
      </c>
      <c r="W12" s="31">
        <v>183.23</v>
      </c>
      <c r="X12" s="31">
        <f t="shared" si="3"/>
        <v>2198.7599999999998</v>
      </c>
    </row>
    <row r="13" spans="1:24" ht="15.75" customHeight="1">
      <c r="A13" s="30" t="s">
        <v>58</v>
      </c>
      <c r="B13" s="30"/>
      <c r="C13" s="30" t="s">
        <v>26</v>
      </c>
      <c r="D13" s="30">
        <v>2</v>
      </c>
      <c r="E13" s="30">
        <v>16</v>
      </c>
      <c r="F13" s="30" t="s">
        <v>59</v>
      </c>
      <c r="G13" s="30" t="s">
        <v>60</v>
      </c>
      <c r="H13" s="30" t="s">
        <v>61</v>
      </c>
      <c r="I13" s="30" t="s">
        <v>61</v>
      </c>
      <c r="J13" s="30">
        <v>2</v>
      </c>
      <c r="K13" s="30">
        <v>16</v>
      </c>
      <c r="L13" s="30">
        <v>200</v>
      </c>
      <c r="M13" s="30"/>
      <c r="N13" s="30" t="s">
        <v>30</v>
      </c>
      <c r="O13" s="31">
        <v>23</v>
      </c>
      <c r="P13" s="31">
        <f t="shared" si="0"/>
        <v>276</v>
      </c>
      <c r="Q13" s="31"/>
      <c r="R13" s="31"/>
      <c r="S13" s="31">
        <v>744.6</v>
      </c>
      <c r="T13" s="31">
        <f t="shared" si="1"/>
        <v>8935.2000000000007</v>
      </c>
      <c r="U13" s="31">
        <f>V13/12</f>
        <v>656.75</v>
      </c>
      <c r="V13" s="31">
        <v>7881</v>
      </c>
      <c r="W13" s="31">
        <f>X13/36</f>
        <v>583.77777777777783</v>
      </c>
      <c r="X13" s="31">
        <v>21016</v>
      </c>
    </row>
    <row r="14" spans="1:24" ht="15.75" customHeight="1">
      <c r="A14" s="30" t="s">
        <v>62</v>
      </c>
      <c r="B14" s="30"/>
      <c r="C14" s="30" t="s">
        <v>52</v>
      </c>
      <c r="D14" s="30">
        <v>4</v>
      </c>
      <c r="E14" s="30">
        <v>16</v>
      </c>
      <c r="F14" s="30" t="s">
        <v>63</v>
      </c>
      <c r="G14" s="30" t="s">
        <v>64</v>
      </c>
      <c r="H14" s="30" t="s">
        <v>65</v>
      </c>
      <c r="I14" s="30" t="s">
        <v>65</v>
      </c>
      <c r="J14" s="30">
        <v>4</v>
      </c>
      <c r="K14" s="30">
        <v>16</v>
      </c>
      <c r="L14" s="30">
        <v>500</v>
      </c>
      <c r="M14" s="30"/>
      <c r="N14" s="30" t="s">
        <v>30</v>
      </c>
      <c r="O14" s="31">
        <v>57.5</v>
      </c>
      <c r="P14" s="31">
        <f t="shared" si="0"/>
        <v>690</v>
      </c>
      <c r="Q14" s="31"/>
      <c r="R14" s="31"/>
      <c r="S14" s="31">
        <v>438</v>
      </c>
      <c r="T14" s="31">
        <f t="shared" si="1"/>
        <v>5256</v>
      </c>
      <c r="U14" s="31" t="s">
        <v>66</v>
      </c>
      <c r="V14" s="31" t="s">
        <v>66</v>
      </c>
      <c r="W14" s="31" t="s">
        <v>66</v>
      </c>
      <c r="X14" s="31" t="s">
        <v>66</v>
      </c>
    </row>
    <row r="15" spans="1:24" ht="15.75" customHeight="1">
      <c r="A15" s="30" t="s">
        <v>67</v>
      </c>
      <c r="B15" s="30"/>
      <c r="C15" s="30" t="s">
        <v>47</v>
      </c>
      <c r="D15" s="30">
        <v>2</v>
      </c>
      <c r="E15" s="30">
        <v>16</v>
      </c>
      <c r="F15" s="30" t="s">
        <v>59</v>
      </c>
      <c r="G15" s="30" t="s">
        <v>60</v>
      </c>
      <c r="H15" s="30" t="s">
        <v>61</v>
      </c>
      <c r="I15" s="30" t="s">
        <v>61</v>
      </c>
      <c r="J15" s="30">
        <v>2</v>
      </c>
      <c r="K15" s="30">
        <v>16</v>
      </c>
      <c r="L15" s="30">
        <v>200</v>
      </c>
      <c r="M15" s="30"/>
      <c r="N15" s="30" t="s">
        <v>30</v>
      </c>
      <c r="O15" s="31">
        <v>23</v>
      </c>
      <c r="P15" s="31">
        <f t="shared" si="0"/>
        <v>276</v>
      </c>
      <c r="Q15" s="31"/>
      <c r="R15" s="31"/>
      <c r="S15" s="31">
        <v>744.6</v>
      </c>
      <c r="T15" s="31">
        <f t="shared" si="1"/>
        <v>8935.2000000000007</v>
      </c>
      <c r="U15" s="31">
        <f>(V15/12)</f>
        <v>656.75</v>
      </c>
      <c r="V15" s="31">
        <v>7881</v>
      </c>
      <c r="W15" s="31">
        <f>(X15/36)</f>
        <v>583.77777777777783</v>
      </c>
      <c r="X15" s="31">
        <v>21016</v>
      </c>
    </row>
    <row r="16" spans="1:2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15" xr:uid="{00000000-0009-0000-0000-000002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Read Me</vt:lpstr>
      <vt:lpstr>Glossary</vt:lpstr>
      <vt:lpstr>Shared Tenancy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Choudhari</dc:creator>
  <cp:lastModifiedBy>Sepulveda.ext, Javier</cp:lastModifiedBy>
  <dcterms:created xsi:type="dcterms:W3CDTF">2025-06-18T23:01:06Z</dcterms:created>
  <dcterms:modified xsi:type="dcterms:W3CDTF">2026-09-01T16:44:07Z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2025-07-18T05:33:49Z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a953ca85-c262-4881-8af5-94029db5a653</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y fmtid="{D5CDD505-2E9C-101B-9397-08002B2CF9AE}" pid="10" name="ContentTypeId">
    <vt:lpwstr>0x010100D90D720D22E865438DB552CF460984A5</vt:lpwstr>
  </property>
</Properties>
</file>